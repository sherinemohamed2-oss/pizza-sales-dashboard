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moneyfellowseg-my.sharepoint.com/personal/sabdallah_moneyfellows_com/Documents/SHERINE/"/>
    </mc:Choice>
  </mc:AlternateContent>
  <xr:revisionPtr revIDLastSave="46" documentId="8_{E424BABC-EB11-451D-9982-675C98C3763E}" xr6:coauthVersionLast="47" xr6:coauthVersionMax="47" xr10:uidLastSave="{D2D27B28-2145-470B-82C6-0886C3B4E2F5}"/>
  <bookViews>
    <workbookView xWindow="-110" yWindow="-110" windowWidth="19420" windowHeight="10300" activeTab="2" xr2:uid="{1557B933-67C9-4125-B83D-425A5D53088F}"/>
  </bookViews>
  <sheets>
    <sheet name="Data" sheetId="1" r:id="rId1"/>
    <sheet name="Pivot tables" sheetId="2" r:id="rId2"/>
    <sheet name="Dashboard" sheetId="3" r:id="rId3"/>
  </sheets>
  <definedNames>
    <definedName name="NativeTimeline_order_date__تاريخ_الطلب">#N/A</definedName>
    <definedName name="Slicer_pizza_category__فئة_البيتزا">#N/A</definedName>
    <definedName name="Slicer_pizza_size__حجم_البيتزا">#N/A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500" i="1" l="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<sst xmlns="http://schemas.openxmlformats.org/spreadsheetml/2006/main" count="3058" uniqueCount="661">
  <si>
    <t>order_id (رقم الطلب)</t>
  </si>
  <si>
    <t>pizza_id (رقم البيتزا)</t>
  </si>
  <si>
    <t>Customer Name (اسم العميل)</t>
  </si>
  <si>
    <t>quantity (الكمية)</t>
  </si>
  <si>
    <t>order_date (تاريخ الطلب)</t>
  </si>
  <si>
    <t>order_time (وقت الطلب)</t>
  </si>
  <si>
    <t>unit_price (سعر الوحدة)</t>
  </si>
  <si>
    <t>Sales</t>
  </si>
  <si>
    <t>pizza_size (حجم البيتزا)</t>
  </si>
  <si>
    <t>pizza_category (فئة البيتزا)</t>
  </si>
  <si>
    <t>pizza_ingredients (مكونات البيتزا)</t>
  </si>
  <si>
    <t>pizza_name (اسم البيتزا)</t>
  </si>
  <si>
    <t>classic_dlx_m</t>
  </si>
  <si>
    <t>Ashley Turner</t>
  </si>
  <si>
    <t>M</t>
  </si>
  <si>
    <t>Classic</t>
  </si>
  <si>
    <t>Pepperoni, Mushrooms, Red Onions, Red Peppers, Bacon</t>
  </si>
  <si>
    <t>The Classic Deluxe Pizza</t>
  </si>
  <si>
    <t>cali_ckn_l</t>
  </si>
  <si>
    <t>Taylor Mitchell</t>
  </si>
  <si>
    <t>L</t>
  </si>
  <si>
    <t>Chicken</t>
  </si>
  <si>
    <t>Chicken, Artichoke, Spinach, Garlic, Jalapeno Peppers, Fontina Cheese, Gouda Cheese</t>
  </si>
  <si>
    <t>The California Chicken Pizza</t>
  </si>
  <si>
    <t>five_cheese_l</t>
  </si>
  <si>
    <t>Amanda Clark</t>
  </si>
  <si>
    <t>Veggie</t>
  </si>
  <si>
    <t>Mozzarella Cheese, Provolone Cheese, Smoked Gouda Cheese, Romano Cheese, Blue Cheese, Garlic</t>
  </si>
  <si>
    <t>The Five Cheese Pizza</t>
  </si>
  <si>
    <t>soppressata_l</t>
  </si>
  <si>
    <t>Emily Parker</t>
  </si>
  <si>
    <t>Supreme</t>
  </si>
  <si>
    <t>Soppressata Salami, Fontina Cheese, Mozzarella Cheese, Mushrooms, Garlic</t>
  </si>
  <si>
    <t>The Soppressata Pizza</t>
  </si>
  <si>
    <t>the_greek_xl</t>
  </si>
  <si>
    <t>Jacob Wright</t>
  </si>
  <si>
    <t>XL</t>
  </si>
  <si>
    <t>Kalamata Olives, Feta Cheese, Tomatoes, Garlic, Beef Chuck Roast, Red Onions</t>
  </si>
  <si>
    <t>The Greek Pizza</t>
  </si>
  <si>
    <t>pepperoni_l</t>
  </si>
  <si>
    <t>Sophia Adams</t>
  </si>
  <si>
    <t>Mozzarella Cheese, Pepperoni</t>
  </si>
  <si>
    <t>The Pepperoni Pizza</t>
  </si>
  <si>
    <t>prsc_argla_s</t>
  </si>
  <si>
    <t>Jacob Harris</t>
  </si>
  <si>
    <t>S</t>
  </si>
  <si>
    <t>Prosciutto di San Daniele, Arugula, Mozzarella Cheese</t>
  </si>
  <si>
    <t>The Prosciutto and Arugula Pizza</t>
  </si>
  <si>
    <t>ital_supr_l</t>
  </si>
  <si>
    <t>Elizabeth Wright</t>
  </si>
  <si>
    <t>Calabrese Salami, Capocollo, Tomatoes, Red Onions, Green Olives, Garlic</t>
  </si>
  <si>
    <t>The Italian Supreme Pizza</t>
  </si>
  <si>
    <t>soppressata_s</t>
  </si>
  <si>
    <t>Hannah Garcia</t>
  </si>
  <si>
    <t>mexicana_s</t>
  </si>
  <si>
    <t>Zachary Smith</t>
  </si>
  <si>
    <t>Tomatoes, Red Peppers, Jalapeno Peppers, Red Onions, Cilantro, Corn, Chipotle Sauce, Garlic</t>
  </si>
  <si>
    <t>The Mexicana Pizza</t>
  </si>
  <si>
    <t>four_cheese_l</t>
  </si>
  <si>
    <t>Ashley Evans</t>
  </si>
  <si>
    <t>Ricotta Cheese, Gorgonzola Piccante Cheese, Mozzarella Cheese, Parmigiano Reggiano Cheese, Garlic</t>
  </si>
  <si>
    <t>The Four Cheese Pizza</t>
  </si>
  <si>
    <t>the_greek_m</t>
  </si>
  <si>
    <t>Megan Turner</t>
  </si>
  <si>
    <t>Logan Evans</t>
  </si>
  <si>
    <t>Megan Collins</t>
  </si>
  <si>
    <t>spicy_ital_l</t>
  </si>
  <si>
    <t>Amber Wright</t>
  </si>
  <si>
    <t>Capocollo, Tomatoes, Goat Cheese, Artichokes, Peperoncini verdi, Garlic</t>
  </si>
  <si>
    <t>The Spicy Italian Pizza</t>
  </si>
  <si>
    <t>ital_veggie_m</t>
  </si>
  <si>
    <t>Brandon Jones</t>
  </si>
  <si>
    <t>Eggplant, Artichokes, Tomatoes, Zucchini, Red Peppers, Garlic, Pesto Sauce</t>
  </si>
  <si>
    <t>The Italian Vegetables Pizza</t>
  </si>
  <si>
    <t>sicilian_s</t>
  </si>
  <si>
    <t>Samantha Lewis</t>
  </si>
  <si>
    <t>Coarse Sicilian Salami, Tomatoes, Green Olives, Luganega Sausage, Onions, Garlic</t>
  </si>
  <si>
    <t>The Sicilian Pizza</t>
  </si>
  <si>
    <t>Courtney Gonzalez</t>
  </si>
  <si>
    <t>bbq_ckn_s</t>
  </si>
  <si>
    <t>Alexis Smith</t>
  </si>
  <si>
    <t>Barbecued Chicken, Red Peppers, Green Peppers, Tomatoes, Red Onions, Barbecue Sauce</t>
  </si>
  <si>
    <t>The Barbecue Chicken Pizza</t>
  </si>
  <si>
    <t>Rachel Anderson</t>
  </si>
  <si>
    <t>sicilian_l</t>
  </si>
  <si>
    <t>Madison Davis</t>
  </si>
  <si>
    <t>peppr_salami_m</t>
  </si>
  <si>
    <t>Ashley Scott</t>
  </si>
  <si>
    <t>Genoa Salami, Capocollo, Pepperoni, Tomatoes, Asiago Cheese, Garlic</t>
  </si>
  <si>
    <t>The Pepper Salami Pizza</t>
  </si>
  <si>
    <t>southw_ckn_s</t>
  </si>
  <si>
    <t>Christopher King</t>
  </si>
  <si>
    <t>Chicken, Tomatoes, Red Peppers, Red Onions, Jalapeno Peppers, Corn, Cilantro, Chipotle Sauce</t>
  </si>
  <si>
    <t>The Southwest Chicken Pizza</t>
  </si>
  <si>
    <t>pepperoni_s</t>
  </si>
  <si>
    <t>Robert Thompson</t>
  </si>
  <si>
    <t>mediterraneo_l</t>
  </si>
  <si>
    <t>Elizabeth Moore</t>
  </si>
  <si>
    <t>Spinach, Artichokes, Kalamata Olives, Sun-dried Tomatoes, Feta Cheese, Plum Tomatoes, Red Onions</t>
  </si>
  <si>
    <t>The Mediterranean Pizza</t>
  </si>
  <si>
    <t>Sarah Parker</t>
  </si>
  <si>
    <t>thai_ckn_l</t>
  </si>
  <si>
    <t>Zachary Garcia</t>
  </si>
  <si>
    <t>Chicken, Pineapple, Tomatoes, Red Peppers, Thai Sweet Chilli Sauce</t>
  </si>
  <si>
    <t>The Thai Chicken Pizza</t>
  </si>
  <si>
    <t>hawaiian_l</t>
  </si>
  <si>
    <t>Brianna Moore</t>
  </si>
  <si>
    <t>Sliced Ham, Pineapple, Mozzarella Cheese</t>
  </si>
  <si>
    <t>The Hawaiian Pizza</t>
  </si>
  <si>
    <t>Ashley Garcia</t>
  </si>
  <si>
    <t>Amanda Torres</t>
  </si>
  <si>
    <t>bbq_ckn_l</t>
  </si>
  <si>
    <t>Jessica Martin</t>
  </si>
  <si>
    <t>Elizabeth Sanchez</t>
  </si>
  <si>
    <t>Dylan Wright</t>
  </si>
  <si>
    <t>spicy_ital_s</t>
  </si>
  <si>
    <t>Logan Hernandez</t>
  </si>
  <si>
    <t>mexicana_m</t>
  </si>
  <si>
    <t>Zachary Johnson</t>
  </si>
  <si>
    <t>Dylan Nelson</t>
  </si>
  <si>
    <t>veggie_veg_m</t>
  </si>
  <si>
    <t>Brianna Allen</t>
  </si>
  <si>
    <t>Mushrooms, Tomatoes, Red Peppers, Green Peppers, Red Onions, Zucchini, Spinach, Garlic</t>
  </si>
  <si>
    <t>The Vegetables + Vegetables Pizza</t>
  </si>
  <si>
    <t>peppr_salami_s</t>
  </si>
  <si>
    <t>Andrew Wright</t>
  </si>
  <si>
    <t>hawaiian_s</t>
  </si>
  <si>
    <t>Elizabeth Harris</t>
  </si>
  <si>
    <t>Anthony Ramirez</t>
  </si>
  <si>
    <t>ckn_alfredo_m</t>
  </si>
  <si>
    <t>Justin Allen</t>
  </si>
  <si>
    <t>Chicken, Red Onions, Red Peppers, Mushrooms, Asiago Cheese, Alfredo Sauce</t>
  </si>
  <si>
    <t>The Chicken Alfredo Pizza</t>
  </si>
  <si>
    <t>thai_ckn_m</t>
  </si>
  <si>
    <t>Jennifer Allen</t>
  </si>
  <si>
    <t>the_greek_l</t>
  </si>
  <si>
    <t>Amber Scott</t>
  </si>
  <si>
    <t>Justin Johnson</t>
  </si>
  <si>
    <t>ckn_pesto_l</t>
  </si>
  <si>
    <t>Victoria Perez</t>
  </si>
  <si>
    <t>Chicken, Tomatoes, Red Peppers, Spinach, Garlic, Pesto Sauce</t>
  </si>
  <si>
    <t>The Chicken Pesto Pizza</t>
  </si>
  <si>
    <t>Sophia Green</t>
  </si>
  <si>
    <t>Zachary Evans</t>
  </si>
  <si>
    <t>calabrese_l</t>
  </si>
  <si>
    <t>Sarah Green</t>
  </si>
  <si>
    <t>慛duja Salami, Pancetta, Tomatoes, Red Onions, Friggitello Peppers, Garlic</t>
  </si>
  <si>
    <t>The Calabrese Pizza</t>
  </si>
  <si>
    <t>Amber Evans</t>
  </si>
  <si>
    <t>Alexis Perez</t>
  </si>
  <si>
    <t>Sarah Martinez</t>
  </si>
  <si>
    <t>peppr_salami_l</t>
  </si>
  <si>
    <t>Justin Gonzalez</t>
  </si>
  <si>
    <t>sicilian_m</t>
  </si>
  <si>
    <t>Anthony Torres</t>
  </si>
  <si>
    <t>prsc_argla_m</t>
  </si>
  <si>
    <t>Matthew Wright</t>
  </si>
  <si>
    <t>Brandon Carter</t>
  </si>
  <si>
    <t>prsc_argla_l</t>
  </si>
  <si>
    <t>Matthew Thompson</t>
  </si>
  <si>
    <t>Amanda Lopez</t>
  </si>
  <si>
    <t>Robert Lopez</t>
  </si>
  <si>
    <t>southw_ckn_l</t>
  </si>
  <si>
    <t>Elizabeth Allen</t>
  </si>
  <si>
    <t>spin_pesto_s</t>
  </si>
  <si>
    <t>Jessica Roberts</t>
  </si>
  <si>
    <t>Spinach, Artichokes, Tomatoes, Sun-dried Tomatoes, Garlic, Pesto Sauce</t>
  </si>
  <si>
    <t>The Spinach Pesto Pizza</t>
  </si>
  <si>
    <t>Rachel Campbell</t>
  </si>
  <si>
    <t>Samantha Young</t>
  </si>
  <si>
    <t>big_meat_s</t>
  </si>
  <si>
    <t>Stephanie Scott</t>
  </si>
  <si>
    <t>Bacon, Pepperoni, Italian Sausage, Chorizo Sausage</t>
  </si>
  <si>
    <t>The Big Meat Pizza</t>
  </si>
  <si>
    <t>Alexander Williams</t>
  </si>
  <si>
    <t>classic_dlx_s</t>
  </si>
  <si>
    <t>Daniel White</t>
  </si>
  <si>
    <t>Lauren Phillips</t>
  </si>
  <si>
    <t>ital_cpcllo_l</t>
  </si>
  <si>
    <t>Daniel Allen</t>
  </si>
  <si>
    <t>Capocollo, Red Peppers, Tomatoes, Goat Cheese, Garlic, Oregano</t>
  </si>
  <si>
    <t>The Italian Capocollo Pizza</t>
  </si>
  <si>
    <t>napolitana_s</t>
  </si>
  <si>
    <t>Christopher Jackson</t>
  </si>
  <si>
    <t>Tomatoes, Anchovies, Green Olives, Red Onions, Garlic</t>
  </si>
  <si>
    <t>The Napolitana Pizza</t>
  </si>
  <si>
    <t>Anthony White</t>
  </si>
  <si>
    <t>hawaiian_m</t>
  </si>
  <si>
    <t>Amanda Young</t>
  </si>
  <si>
    <t>Alexander Smith</t>
  </si>
  <si>
    <t>Zachary Hernandez</t>
  </si>
  <si>
    <t>spin_pesto_l</t>
  </si>
  <si>
    <t>Alexis White</t>
  </si>
  <si>
    <t>Tyler Adams</t>
  </si>
  <si>
    <t>Brandon Williams</t>
  </si>
  <si>
    <t>green_garden_s</t>
  </si>
  <si>
    <t>Brianna Scott</t>
  </si>
  <si>
    <t>Spinach, Mushrooms, Tomatoes, Green Olives, Feta Cheese</t>
  </si>
  <si>
    <t>The Green Garden Pizza</t>
  </si>
  <si>
    <t>Victoria Thomas</t>
  </si>
  <si>
    <t>Olivia Lee</t>
  </si>
  <si>
    <t>ital_supr_m</t>
  </si>
  <si>
    <t>Hannah Jones</t>
  </si>
  <si>
    <t>spicy_ital_m</t>
  </si>
  <si>
    <t>Andrew Miller</t>
  </si>
  <si>
    <t>Sarah Allen</t>
  </si>
  <si>
    <t>William Allen</t>
  </si>
  <si>
    <t>Lauren Martin</t>
  </si>
  <si>
    <t>ital_veggie_l</t>
  </si>
  <si>
    <t>Linda Hall</t>
  </si>
  <si>
    <t>thai_ckn_s</t>
  </si>
  <si>
    <t>Olivia Brown</t>
  </si>
  <si>
    <t>ital_supr_s</t>
  </si>
  <si>
    <t>Nicholas Walker</t>
  </si>
  <si>
    <t>Nicholas Green</t>
  </si>
  <si>
    <t>veggie_veg_s</t>
  </si>
  <si>
    <t>Ethan Perez</t>
  </si>
  <si>
    <t>Alexis Campbell</t>
  </si>
  <si>
    <t>ckn_pesto_m</t>
  </si>
  <si>
    <t>Emily Wright</t>
  </si>
  <si>
    <t>Linda Hernandez</t>
  </si>
  <si>
    <t>calabrese_m</t>
  </si>
  <si>
    <t>Joseph Allen</t>
  </si>
  <si>
    <t>William Adams</t>
  </si>
  <si>
    <t>Kayla Lewis</t>
  </si>
  <si>
    <t>Tyler Clark</t>
  </si>
  <si>
    <t>Stephanie Clark</t>
  </si>
  <si>
    <t>the_greek_s</t>
  </si>
  <si>
    <t>Michael Anderson</t>
  </si>
  <si>
    <t>veggie_veg_l</t>
  </si>
  <si>
    <t>Ryan Clark</t>
  </si>
  <si>
    <t>Olivia Roberts</t>
  </si>
  <si>
    <t>Matthew Garcia</t>
  </si>
  <si>
    <t>Samantha Smith</t>
  </si>
  <si>
    <t>green_garden_m</t>
  </si>
  <si>
    <t>Victoria Hall</t>
  </si>
  <si>
    <t>Emily Williams</t>
  </si>
  <si>
    <t>John Garcia</t>
  </si>
  <si>
    <t>mexicana_l</t>
  </si>
  <si>
    <t>Robert Perez</t>
  </si>
  <si>
    <t>Joshua Smith</t>
  </si>
  <si>
    <t>Elizabeth Ramirez</t>
  </si>
  <si>
    <t>Emily Nelson</t>
  </si>
  <si>
    <t>Brianna Lee</t>
  </si>
  <si>
    <t>ckn_alfredo_l</t>
  </si>
  <si>
    <t>Brandon Harris</t>
  </si>
  <si>
    <t>Christopher Turner</t>
  </si>
  <si>
    <t>Justin Campbell</t>
  </si>
  <si>
    <t>bbq_ckn_m</t>
  </si>
  <si>
    <t>Dylan Carter</t>
  </si>
  <si>
    <t>John Campbell</t>
  </si>
  <si>
    <t>Daniel Scott</t>
  </si>
  <si>
    <t>Lauren Brown</t>
  </si>
  <si>
    <t>Kayla Phillips</t>
  </si>
  <si>
    <t>ital_cpcllo_m</t>
  </si>
  <si>
    <t>Hannah Miller</t>
  </si>
  <si>
    <t>cali_ckn_m</t>
  </si>
  <si>
    <t>Emily Brown</t>
  </si>
  <si>
    <t>Elizabeth Roberts</t>
  </si>
  <si>
    <t>Madison Evans</t>
  </si>
  <si>
    <t>Noah Scott</t>
  </si>
  <si>
    <t>John Hill</t>
  </si>
  <si>
    <t>Michael Collins</t>
  </si>
  <si>
    <t>James Wright</t>
  </si>
  <si>
    <t>spinach_fet_s</t>
  </si>
  <si>
    <t>Joseph Jones</t>
  </si>
  <si>
    <t>Spinach, Mushrooms, Red Onions, Feta Cheese, Garlic</t>
  </si>
  <si>
    <t>The Spinach and Feta Pizza</t>
  </si>
  <si>
    <t>Brianna Lopez</t>
  </si>
  <si>
    <t>Emily Young</t>
  </si>
  <si>
    <t>pepperoni_m</t>
  </si>
  <si>
    <t>Christopher Martinez</t>
  </si>
  <si>
    <t>Sophia Perez</t>
  </si>
  <si>
    <t>Anthony Nelson</t>
  </si>
  <si>
    <t>Courtney Baker</t>
  </si>
  <si>
    <t>Jacob Gonzalez</t>
  </si>
  <si>
    <t>napolitana_m</t>
  </si>
  <si>
    <t>Ryan Phillips</t>
  </si>
  <si>
    <t>Sophia Sanchez</t>
  </si>
  <si>
    <t>Ryan Miller</t>
  </si>
  <si>
    <t>Noah Lee</t>
  </si>
  <si>
    <t>Sarah Thompson</t>
  </si>
  <si>
    <t>mediterraneo_s</t>
  </si>
  <si>
    <t>Olivia King</t>
  </si>
  <si>
    <t>William Ramirez</t>
  </si>
  <si>
    <t>Joseph Lee</t>
  </si>
  <si>
    <t>Ethan Williams</t>
  </si>
  <si>
    <t>Andrew Jackson</t>
  </si>
  <si>
    <t>Brittany King</t>
  </si>
  <si>
    <t>Rachel Hill</t>
  </si>
  <si>
    <t>Amanda Green</t>
  </si>
  <si>
    <t>Rachel Johnson</t>
  </si>
  <si>
    <t>cali_ckn_s</t>
  </si>
  <si>
    <t>Victoria Roberts</t>
  </si>
  <si>
    <t>Justin Nelson</t>
  </si>
  <si>
    <t>Ashley Nelson</t>
  </si>
  <si>
    <t>soppressata_m</t>
  </si>
  <si>
    <t>Joseph Evans</t>
  </si>
  <si>
    <t>mediterraneo_m</t>
  </si>
  <si>
    <t>Hannah Phillips</t>
  </si>
  <si>
    <t>Dylan Robinson</t>
  </si>
  <si>
    <t>Lauren King</t>
  </si>
  <si>
    <t>James Sanchez</t>
  </si>
  <si>
    <t>Megan Thomas</t>
  </si>
  <si>
    <t>Rachel Evans</t>
  </si>
  <si>
    <t>Alexis Davis</t>
  </si>
  <si>
    <t>Joseph Garcia</t>
  </si>
  <si>
    <t>spinach_fet_l</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</si>
  <si>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</si>
  <si>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</si>
  <si>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</si>
  <si>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</si>
  <si>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</si>
  <si>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</si>
  <si>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</si>
  <si>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</si>
  <si>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</si>
  <si>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</si>
  <si>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</si>
  <si>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</si>
  <si>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</si>
  <si>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spin_pesto_m</t>
  </si>
  <si>
    <t>Elizabeth Collins</t>
  </si>
  <si>
    <t>Noah Ramirez</t>
  </si>
  <si>
    <t>Megan Mitchell</t>
  </si>
  <si>
    <t>Logan Moore</t>
  </si>
  <si>
    <t>spinach_supr_l</t>
  </si>
  <si>
    <t>Emily Harris</t>
  </si>
  <si>
    <t>Spinach, Red Onions, Pepperoni, Tomatoes, Artichokes, Kalamata Olives, Garlic, Asiago Cheese</t>
  </si>
  <si>
    <t>The Spinach Supreme Pizza</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</si>
  <si>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</si>
  <si>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</si>
  <si>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</si>
  <si>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</si>
  <si>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</si>
  <si>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</si>
  <si>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</si>
  <si>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</si>
  <si>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</si>
  <si>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</si>
  <si>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</si>
  <si>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</si>
  <si>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</si>
  <si>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</si>
  <si>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</si>
  <si>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</si>
  <si>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</si>
  <si>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</si>
  <si>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</si>
  <si>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</si>
  <si>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</si>
  <si>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</si>
  <si>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</si>
  <si>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</si>
  <si>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</si>
  <si>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</si>
  <si>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</si>
  <si>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</si>
  <si>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</si>
  <si>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</si>
  <si>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</si>
  <si>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</si>
  <si>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</si>
  <si>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</si>
  <si>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</si>
  <si>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</si>
  <si>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pep_msh_pep_m</t>
  </si>
  <si>
    <t>Olivia Ramirez</t>
  </si>
  <si>
    <t>Pepperoni, Mushrooms, Green Peppers</t>
  </si>
  <si>
    <t>The Pepperoni, Mushroom, and Peppers Pizza</t>
  </si>
  <si>
    <t>Jacob Hernandez</t>
  </si>
  <si>
    <t>Hannah Gonzalez</t>
  </si>
  <si>
    <t>Rachel Perez</t>
  </si>
  <si>
    <t>Brandon Parker</t>
  </si>
  <si>
    <t>Michael Baker</t>
  </si>
  <si>
    <t>Ethan Baker</t>
  </si>
  <si>
    <t>Courtney Johnson</t>
  </si>
  <si>
    <t>Jacob Garcia</t>
  </si>
  <si>
    <t>Megan Williams</t>
  </si>
  <si>
    <t>Daniel Parker</t>
  </si>
  <si>
    <t>Andrew Mitchell</t>
  </si>
  <si>
    <t>calabrese_s</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</si>
  <si>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</si>
  <si>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</si>
  <si>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</si>
  <si>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</si>
  <si>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</si>
  <si>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</si>
  <si>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</si>
  <si>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</si>
  <si>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</si>
  <si>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</si>
  <si>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</si>
  <si>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</si>
  <si>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</si>
  <si>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</si>
  <si>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</si>
  <si>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</si>
  <si>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</si>
  <si>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</si>
  <si>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</si>
  <si>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</si>
  <si>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</si>
  <si>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</si>
  <si>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</si>
  <si>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classic_dlx_l</t>
  </si>
  <si>
    <t>Courtney Walker</t>
  </si>
  <si>
    <t>four_cheese_m</t>
  </si>
  <si>
    <t>Madison Carter</t>
  </si>
  <si>
    <t>Zachary Moore</t>
  </si>
  <si>
    <t>Logan Green</t>
  </si>
  <si>
    <t>pep_msh_pep_s</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</si>
  <si>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</si>
  <si>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</si>
  <si>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</si>
  <si>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</si>
  <si>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</si>
  <si>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</si>
  <si>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</si>
  <si>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</si>
  <si>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</si>
  <si>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</si>
  <si>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</si>
  <si>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</si>
  <si>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</si>
  <si>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</si>
  <si>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napolitana_l</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</si>
  <si>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</si>
  <si>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</si>
  <si>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</si>
  <si>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</si>
  <si>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</si>
  <si>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</si>
  <si>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</si>
  <si>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</si>
  <si>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</si>
  <si>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</si>
  <si>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</si>
  <si>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</si>
  <si>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ital_cpcllo_s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</si>
  <si>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</si>
  <si>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</si>
  <si>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</si>
  <si>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</si>
  <si>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</si>
  <si>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</si>
  <si>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</si>
  <si>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</si>
  <si>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</si>
  <si>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</si>
  <si>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</si>
  <si>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</si>
  <si>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</si>
  <si>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</si>
  <si>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</si>
  <si>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</si>
  <si>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</si>
  <si>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</si>
  <si>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</si>
  <si>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</si>
  <si>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</si>
  <si>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</si>
  <si>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</si>
  <si>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</si>
  <si>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</si>
  <si>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</si>
  <si>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</si>
  <si>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</si>
  <si>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</si>
  <si>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</si>
  <si>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</si>
  <si>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spinach_supr_s</t>
  </si>
  <si>
    <t>Kayla King</t>
  </si>
  <si>
    <t>Justin Lee</t>
  </si>
  <si>
    <t>Ethan Jones</t>
  </si>
  <si>
    <t>Brianna Brown</t>
  </si>
  <si>
    <t>ital_veggie_s</t>
  </si>
  <si>
    <t>Courtney Perez</t>
  </si>
  <si>
    <t>Zachary Jones</t>
  </si>
  <si>
    <t>Kayla Martinez</t>
  </si>
  <si>
    <t>spinach_fet_m</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</si>
  <si>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</si>
  <si>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</si>
  <si>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</si>
  <si>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</si>
  <si>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</si>
  <si>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</si>
  <si>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</si>
  <si>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</si>
  <si>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</si>
  <si>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</si>
  <si>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</si>
  <si>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</si>
  <si>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</si>
  <si>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</si>
  <si>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</si>
  <si>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</si>
  <si>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</si>
  <si>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ckn_pesto_s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</si>
  <si>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</si>
  <si>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</si>
  <si>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</si>
  <si>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</si>
  <si>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</si>
  <si>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</si>
  <si>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</si>
  <si>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</si>
  <si>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</si>
  <si>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</si>
  <si>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</si>
  <si>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</si>
  <si>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</si>
  <si>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</si>
  <si>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</si>
  <si>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</si>
  <si>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</si>
  <si>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</si>
  <si>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</si>
  <si>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</si>
  <si>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</si>
  <si>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</si>
  <si>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</si>
  <si>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</si>
  <si>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</si>
  <si>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</si>
  <si>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</si>
  <si>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</si>
  <si>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</si>
  <si>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</si>
  <si>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</si>
  <si>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</si>
  <si>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</si>
  <si>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</si>
  <si>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</si>
  <si>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</si>
  <si>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</si>
  <si>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</si>
  <si>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</si>
  <si>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</si>
  <si>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</si>
  <si>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</si>
  <si>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</si>
  <si>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</si>
  <si>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</si>
  <si>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</si>
  <si>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</si>
  <si>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</si>
  <si>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</si>
  <si>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</si>
  <si>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</si>
  <si>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</si>
  <si>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</si>
  <si>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</si>
  <si>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</si>
  <si>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</si>
  <si>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</si>
  <si>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</si>
  <si>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</si>
  <si>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</si>
  <si>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</si>
  <si>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pep_msh_pep_l</t>
  </si>
  <si>
    <t>Madison Lee</t>
  </si>
  <si>
    <t>John Evans</t>
  </si>
  <si>
    <t>Michael Thomas</t>
  </si>
  <si>
    <t>Emily Phillips</t>
  </si>
  <si>
    <t>Samantha Baker</t>
  </si>
  <si>
    <t>ckn_alfredo_s</t>
  </si>
  <si>
    <t>Noah Nelson</t>
  </si>
  <si>
    <t>Robert Hernandez</t>
  </si>
  <si>
    <t>Nicholas Jones</t>
  </si>
  <si>
    <t>Madison Hernandez</t>
  </si>
  <si>
    <t>James Jones</t>
  </si>
  <si>
    <t>Rachel Roberts</t>
  </si>
  <si>
    <t>Robert Hill</t>
  </si>
  <si>
    <t>Brittany Baker</t>
  </si>
  <si>
    <t>Jacob Smith</t>
  </si>
  <si>
    <t>Emily Taylor</t>
  </si>
  <si>
    <t>spinach_supr_m</t>
  </si>
  <si>
    <t>Ashley Clark</t>
  </si>
  <si>
    <t>Courtney Williams</t>
  </si>
  <si>
    <t>Sophia Jones</t>
  </si>
  <si>
    <t>Alexis Evans</t>
  </si>
  <si>
    <t>David Gonzalez</t>
  </si>
  <si>
    <t>southw_ckn_m</t>
  </si>
  <si>
    <t>Samantha Jackson</t>
  </si>
  <si>
    <t>brie_carre_s</t>
  </si>
  <si>
    <t>Brianna Young</t>
  </si>
  <si>
    <t>Brie Carre Cheese, Prosciutto, Caramelized Onions, Pears, Thyme, Garlic</t>
  </si>
  <si>
    <t>The Brie Carre Pizza</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</si>
  <si>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</si>
  <si>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</si>
  <si>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</si>
  <si>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</si>
  <si>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</si>
  <si>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</si>
  <si>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</si>
  <si>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</si>
  <si>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</si>
  <si>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</si>
  <si>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</si>
  <si>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</si>
  <si>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</si>
  <si>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</si>
  <si>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</si>
  <si>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</si>
  <si>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</si>
  <si>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</si>
  <si>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</si>
  <si>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</si>
  <si>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</si>
  <si>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</si>
  <si>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</si>
  <si>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</si>
  <si>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</si>
  <si>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</si>
  <si>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</si>
  <si>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</si>
  <si>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</si>
  <si>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</si>
  <si>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</si>
  <si>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</si>
  <si>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</si>
  <si>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</si>
  <si>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</si>
  <si>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</si>
  <si>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</si>
  <si>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</si>
  <si>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</si>
  <si>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</si>
  <si>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</si>
  <si>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</si>
  <si>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</si>
  <si>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</si>
  <si>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</si>
  <si>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</si>
  <si>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</si>
  <si>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</si>
  <si>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</si>
  <si>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</si>
  <si>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Row Labels</t>
  </si>
  <si>
    <t>Grand Total</t>
  </si>
  <si>
    <t>Count of order_id (رقم الطلب)</t>
  </si>
  <si>
    <t>12 PM</t>
  </si>
  <si>
    <t>1 PM</t>
  </si>
  <si>
    <t>5 PM</t>
  </si>
  <si>
    <t>6 PM</t>
  </si>
  <si>
    <t>7 PM</t>
  </si>
  <si>
    <t>Sum of Sales</t>
  </si>
  <si>
    <t>Sum of quantity (الكمية)</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</si>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</sst>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quot;$&quot;* #,##0_-;_-&quot;$&quot;* &quot;-&quot;??_-;_-@_-"/>
    <numFmt numFmtId="165" formatCode="[$-F400]h:mm:ss\ AM/PM"/>
  </numFmts>
  <fonts count="3" x14ac:knownFonts="1">
    <font>
      <sz val="11"/>
      <color theme="1"/>
      <name val="Aptos Narrow"/>
      <family val="2"/>
      <scheme val="minor"/>
    </font>
    <font>
      <sz val="11"/>
      <color theme="1"/>
      <name val="Aptos Narrow"/>
      <family val="2"/>
      <scheme val="minor"/>
    </font>
    <font>
      <b/>
      <sz val="12"/>
      <color theme="1"/>
      <name val="Aptos Narrow"/>
      <family val="2"/>
      <scheme val="minor"/>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2">
    <xf numFmtId="0" fontId="0" fillId="0" borderId="0"/>
    <xf numFmtId="44" fontId="1" fillId="0" borderId="0" applyFont="0" applyFill="0" applyBorder="0" applyAlignment="0" applyProtection="0"/>
  </cellStyleXfs>
  <cellXfs count="23">
    <xf numFmtId="0" fontId="0" fillId="0" borderId="0" xfId="0"/>
    <xf numFmtId="0" fontId="2" fillId="0" borderId="0" xfId="0" applyFont="1"/>
    <xf numFmtId="164" fontId="2" fillId="0" borderId="0" xfId="1" applyNumberFormat="1" applyFont="1" applyFill="1" applyAlignment="1">
      <alignment horizontal="center" vertical="center"/>
    </xf>
    <xf numFmtId="0" fontId="0" fillId="0" borderId="0" xfId="0" applyAlignment="1">
      <alignment horizontal="center"/>
    </xf>
    <xf numFmtId="3" fontId="0" fillId="0" borderId="0" xfId="0" applyNumberFormat="1"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164" fontId="0" fillId="0" borderId="0" xfId="1" applyNumberFormat="1" applyFont="1" applyAlignment="1">
      <alignment horizontal="center" vertical="center"/>
    </xf>
    <xf numFmtId="0" fontId="0" fillId="0" borderId="1" xfId="0" pivotButton="1" applyBorder="1"/>
    <xf numFmtId="0" fontId="0" fillId="0" borderId="3" xfId="0"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9" fontId="0" fillId="0" borderId="3" xfId="0" applyNumberFormat="1" applyBorder="1"/>
    <xf numFmtId="9" fontId="0" fillId="0" borderId="4" xfId="0" applyNumberFormat="1" applyBorder="1"/>
    <xf numFmtId="9" fontId="0" fillId="0" borderId="5" xfId="0" applyNumberFormat="1" applyBorder="1"/>
    <xf numFmtId="3" fontId="0" fillId="0" borderId="3" xfId="0" applyNumberFormat="1" applyBorder="1"/>
    <xf numFmtId="3" fontId="0" fillId="0" borderId="4" xfId="0" applyNumberFormat="1" applyBorder="1"/>
    <xf numFmtId="3" fontId="0" fillId="0" borderId="5" xfId="0" applyNumberFormat="1" applyBorder="1"/>
    <xf numFmtId="9" fontId="0" fillId="0" borderId="0" xfId="0" applyNumberFormat="1"/>
    <xf numFmtId="0" fontId="0" fillId="0" borderId="3" xfId="0" applyNumberFormat="1" applyBorder="1"/>
    <xf numFmtId="0" fontId="0" fillId="0" borderId="4" xfId="0" applyNumberFormat="1" applyBorder="1"/>
    <xf numFmtId="0" fontId="0" fillId="0" borderId="5" xfId="0" applyNumberFormat="1" applyBorder="1"/>
  </cellXfs>
  <cellStyles count="2">
    <cellStyle name="Currency" xfId="1" builtinId="4"/>
    <cellStyle name="Normal" xfId="0" builtinId="0"/>
  </cellStyles>
  <dxfs count="15">
    <dxf>
      <numFmt numFmtId="13"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4" formatCode="_-&quot;$&quot;* #,##0_-;\-&quot;$&quot;* #,##0_-;_-&quot;$&quot;* &quot;-&quot;??_-;_-@_-"/>
      <alignment horizontal="center" vertical="center" textRotation="0" wrapText="0" indent="0" justifyLastLine="0" shrinkToFit="0" readingOrder="0"/>
    </dxf>
    <dxf>
      <numFmt numFmtId="165" formatCode="[$-F400]h:mm:ss\ AM/PM"/>
      <alignment horizontal="center" vertical="bottom" textRotation="0" wrapText="0" indent="0" justifyLastLine="0" shrinkToFit="0" readingOrder="0"/>
    </dxf>
    <dxf>
      <numFmt numFmtId="166" formatCode="d/mm/yyyy"/>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solidFill>
                  <a:schemeClr val="accent2"/>
                </a:solidFill>
              </a:rPr>
              <a:t>Total Orders By Pizza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FD55-47E2-97BE-DA5ABF3D0BB7}"/>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D55-47E2-97BE-DA5ABF3D0BB7}"/>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4-FD55-47E2-97BE-DA5ABF3D0BB7}"/>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FD55-47E2-97BE-DA5ABF3D0BB7}"/>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tables'!$A$2:$A$6</c:f>
              <c:strCache>
                <c:ptCount val="4"/>
                <c:pt idx="0">
                  <c:v>L</c:v>
                </c:pt>
                <c:pt idx="1">
                  <c:v>S</c:v>
                </c:pt>
                <c:pt idx="2">
                  <c:v>M</c:v>
                </c:pt>
                <c:pt idx="3">
                  <c:v>XL</c:v>
                </c:pt>
              </c:strCache>
            </c:strRef>
          </c:cat>
          <c:val>
            <c:numRef>
              <c:f>'Pivot tables'!$B$2:$B$6</c:f>
              <c:numCache>
                <c:formatCode>General</c:formatCode>
                <c:ptCount val="4"/>
                <c:pt idx="0">
                  <c:v>197</c:v>
                </c:pt>
                <c:pt idx="1">
                  <c:v>153</c:v>
                </c:pt>
                <c:pt idx="2">
                  <c:v>138</c:v>
                </c:pt>
                <c:pt idx="3">
                  <c:v>11</c:v>
                </c:pt>
              </c:numCache>
            </c:numRef>
          </c:val>
          <c:extLst>
            <c:ext xmlns:c16="http://schemas.microsoft.com/office/drawing/2014/chart" uri="{C3380CC4-5D6E-409C-BE32-E72D297353CC}">
              <c16:uniqueId val="{00000000-FD55-47E2-97BE-DA5ABF3D0BB7}"/>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tables!PivotTable5</c:name>
    <c:fmtId val="1"/>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solidFill>
                  <a:schemeClr val="accent2"/>
                </a:solidFill>
              </a:rPr>
              <a:t>Top 5 Peak Hours By Orders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tables'!$D$2:$D$7</c:f>
              <c:strCache>
                <c:ptCount val="5"/>
                <c:pt idx="0">
                  <c:v>5 PM</c:v>
                </c:pt>
                <c:pt idx="1">
                  <c:v>1 PM</c:v>
                </c:pt>
                <c:pt idx="2">
                  <c:v>6 PM</c:v>
                </c:pt>
                <c:pt idx="3">
                  <c:v>12 PM</c:v>
                </c:pt>
                <c:pt idx="4">
                  <c:v>7 PM</c:v>
                </c:pt>
              </c:strCache>
            </c:strRef>
          </c:cat>
          <c:val>
            <c:numRef>
              <c:f>'Pivot tables'!$E$2:$E$7</c:f>
              <c:numCache>
                <c:formatCode>General</c:formatCode>
                <c:ptCount val="5"/>
                <c:pt idx="0">
                  <c:v>72</c:v>
                </c:pt>
                <c:pt idx="1">
                  <c:v>56</c:v>
                </c:pt>
                <c:pt idx="2">
                  <c:v>55</c:v>
                </c:pt>
                <c:pt idx="3">
                  <c:v>55</c:v>
                </c:pt>
                <c:pt idx="4">
                  <c:v>51</c:v>
                </c:pt>
              </c:numCache>
            </c:numRef>
          </c:val>
          <c:extLst>
            <c:ext xmlns:c16="http://schemas.microsoft.com/office/drawing/2014/chart" uri="{C3380CC4-5D6E-409C-BE32-E72D297353CC}">
              <c16:uniqueId val="{00000000-060F-4802-9F65-AE10EFB3DB9E}"/>
            </c:ext>
          </c:extLst>
        </c:ser>
        <c:dLbls>
          <c:showLegendKey val="0"/>
          <c:showVal val="0"/>
          <c:showCatName val="0"/>
          <c:showSerName val="0"/>
          <c:showPercent val="0"/>
          <c:showBubbleSize val="0"/>
        </c:dLbls>
        <c:gapWidth val="79"/>
        <c:overlap val="-27"/>
        <c:axId val="1651137824"/>
        <c:axId val="1649059440"/>
      </c:barChart>
      <c:catAx>
        <c:axId val="16511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2">
                    <a:lumMod val="50000"/>
                  </a:schemeClr>
                </a:solidFill>
                <a:latin typeface="+mn-lt"/>
                <a:ea typeface="+mn-ea"/>
                <a:cs typeface="+mn-cs"/>
              </a:defRPr>
            </a:pPr>
            <a:endParaRPr lang="en-US"/>
          </a:p>
        </c:txPr>
        <c:crossAx val="1649059440"/>
        <c:crosses val="autoZero"/>
        <c:auto val="1"/>
        <c:lblAlgn val="ctr"/>
        <c:lblOffset val="100"/>
        <c:noMultiLvlLbl val="0"/>
      </c:catAx>
      <c:valAx>
        <c:axId val="1649059440"/>
        <c:scaling>
          <c:orientation val="minMax"/>
        </c:scaling>
        <c:delete val="1"/>
        <c:axPos val="l"/>
        <c:numFmt formatCode="General" sourceLinked="1"/>
        <c:majorTickMark val="none"/>
        <c:minorTickMark val="none"/>
        <c:tickLblPos val="nextTo"/>
        <c:crossAx val="16511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Sales Percentage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tables'!$I$1</c:f>
              <c:strCache>
                <c:ptCount val="1"/>
                <c:pt idx="0">
                  <c:v>Total</c:v>
                </c:pt>
              </c:strCache>
            </c:strRef>
          </c:tx>
          <c:explosion val="10"/>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E72E-4325-8CF6-EBC2530D8671}"/>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E72E-4325-8CF6-EBC2530D8671}"/>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4-E72E-4325-8CF6-EBC2530D8671}"/>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E72E-4325-8CF6-EBC2530D867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tables'!$H$2:$H$6</c:f>
              <c:strCache>
                <c:ptCount val="4"/>
                <c:pt idx="0">
                  <c:v>Veggie</c:v>
                </c:pt>
                <c:pt idx="1">
                  <c:v>Classic</c:v>
                </c:pt>
                <c:pt idx="2">
                  <c:v>Supreme</c:v>
                </c:pt>
                <c:pt idx="3">
                  <c:v>Chicken</c:v>
                </c:pt>
              </c:strCache>
            </c:strRef>
          </c:cat>
          <c:val>
            <c:numRef>
              <c:f>'Pivot tables'!$I$2:$I$6</c:f>
              <c:numCache>
                <c:formatCode>0%</c:formatCode>
                <c:ptCount val="4"/>
                <c:pt idx="0">
                  <c:v>0.28037410873572355</c:v>
                </c:pt>
                <c:pt idx="1">
                  <c:v>0.26964633922274045</c:v>
                </c:pt>
                <c:pt idx="2">
                  <c:v>0.24324772849852713</c:v>
                </c:pt>
                <c:pt idx="3">
                  <c:v>0.20673182354300884</c:v>
                </c:pt>
              </c:numCache>
            </c:numRef>
          </c:val>
          <c:extLst>
            <c:ext xmlns:c16="http://schemas.microsoft.com/office/drawing/2014/chart" uri="{C3380CC4-5D6E-409C-BE32-E72D297353CC}">
              <c16:uniqueId val="{00000000-E72E-4325-8CF6-EBC2530D8671}"/>
            </c:ext>
          </c:extLst>
        </c:ser>
        <c:dLbls>
          <c:showLegendKey val="0"/>
          <c:showVal val="0"/>
          <c:showCatName val="0"/>
          <c:showSerName val="0"/>
          <c:showPercent val="0"/>
          <c:showBubbleSize val="0"/>
          <c:showLeaderLines val="1"/>
        </c:dLbls>
        <c:firstSliceAng val="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 10 </a:t>
            </a:r>
            <a:r>
              <a:rPr lang="en-US" b="1">
                <a:solidFill>
                  <a:schemeClr val="accent2">
                    <a:lumMod val="75000"/>
                  </a:schemeClr>
                </a:solidFill>
              </a:rPr>
              <a:t>Pizza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s>
    <c:plotArea>
      <c:layout/>
      <c:barChart>
        <c:barDir val="bar"/>
        <c:grouping val="clustered"/>
        <c:varyColors val="0"/>
        <c:ser>
          <c:idx val="0"/>
          <c:order val="0"/>
          <c:tx>
            <c:strRef>
              <c:f>'Pivot tables'!$M$1</c:f>
              <c:strCache>
                <c:ptCount val="1"/>
                <c:pt idx="0">
                  <c:v>Total</c:v>
                </c:pt>
              </c:strCache>
            </c:strRef>
          </c:tx>
          <c:spPr>
            <a:solidFill>
              <a:schemeClr val="accent2">
                <a:lumMod val="75000"/>
              </a:schemeClr>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2-344E-4044-9CC8-2287DF9137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tables'!$L$2:$L$14</c:f>
              <c:strCache>
                <c:ptCount val="12"/>
                <c:pt idx="0">
                  <c:v>The Greek Pizza</c:v>
                </c:pt>
                <c:pt idx="1">
                  <c:v>The Mexicana Pizza</c:v>
                </c:pt>
                <c:pt idx="2">
                  <c:v>The Southwest Chicken Pizza</c:v>
                </c:pt>
                <c:pt idx="3">
                  <c:v>The Pepper Salami Pizza</c:v>
                </c:pt>
                <c:pt idx="4">
                  <c:v>The Hawaiian Pizza</c:v>
                </c:pt>
                <c:pt idx="5">
                  <c:v>The Barbecue Chicken Pizza</c:v>
                </c:pt>
                <c:pt idx="6">
                  <c:v>The Thai Chicken Pizza</c:v>
                </c:pt>
                <c:pt idx="7">
                  <c:v>The Sicilian Pizza</c:v>
                </c:pt>
                <c:pt idx="8">
                  <c:v>The Big Meat Pizza</c:v>
                </c:pt>
                <c:pt idx="9">
                  <c:v>The Four Cheese Pizza</c:v>
                </c:pt>
                <c:pt idx="10">
                  <c:v>The Pepperoni Pizza</c:v>
                </c:pt>
                <c:pt idx="11">
                  <c:v>The Classic Deluxe Pizza</c:v>
                </c:pt>
              </c:strCache>
            </c:strRef>
          </c:cat>
          <c:val>
            <c:numRef>
              <c:f>'Pivot tables'!$M$2:$M$14</c:f>
              <c:numCache>
                <c:formatCode>#,##0</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00-344E-4044-9CC8-2287DF913725}"/>
            </c:ext>
          </c:extLst>
        </c:ser>
        <c:dLbls>
          <c:showLegendKey val="0"/>
          <c:showVal val="0"/>
          <c:showCatName val="0"/>
          <c:showSerName val="0"/>
          <c:showPercent val="0"/>
          <c:showBubbleSize val="0"/>
        </c:dLbls>
        <c:gapWidth val="42"/>
        <c:axId val="1655149824"/>
        <c:axId val="1648919280"/>
      </c:barChart>
      <c:catAx>
        <c:axId val="165514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8919280"/>
        <c:crosses val="autoZero"/>
        <c:auto val="1"/>
        <c:lblAlgn val="ctr"/>
        <c:lblOffset val="100"/>
        <c:noMultiLvlLbl val="0"/>
      </c:catAx>
      <c:valAx>
        <c:axId val="16489192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4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tables!PivotTable8</c:name>
    <c:fmtId val="0"/>
  </c:pivotSource>
  <c:chart>
    <c:title>
      <c:tx>
        <c:rich>
          <a:bodyPr rot="0" spcFirstLastPara="1" vertOverflow="ellipsis" vert="horz" wrap="square" anchor="ctr" anchorCtr="1"/>
          <a:lstStyle/>
          <a:p>
            <a:pPr>
              <a:defRPr lang="en-US" sz="1400" b="1" i="0" u="none" strike="noStrike" kern="1200" spc="0" baseline="0">
                <a:solidFill>
                  <a:schemeClr val="accent2"/>
                </a:solidFill>
                <a:latin typeface="+mn-lt"/>
                <a:ea typeface="+mn-ea"/>
                <a:cs typeface="+mn-cs"/>
              </a:defRPr>
            </a:pPr>
            <a:r>
              <a:rPr lang="en-US" sz="1400" b="1" i="0" u="none" strike="noStrike" kern="1200" spc="0" baseline="0">
                <a:solidFill>
                  <a:schemeClr val="accent2"/>
                </a:solidFill>
                <a:latin typeface="+mn-lt"/>
                <a:ea typeface="+mn-ea"/>
                <a:cs typeface="+mn-cs"/>
              </a:rPr>
              <a:t>Order Trend By Month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2"/>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diamond"/>
          <c:size val="7"/>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tables'!$Q$1</c:f>
              <c:strCache>
                <c:ptCount val="1"/>
                <c:pt idx="0">
                  <c:v>Total</c:v>
                </c:pt>
              </c:strCache>
            </c:strRef>
          </c:tx>
          <c:spPr>
            <a:ln w="28575" cap="rnd">
              <a:solidFill>
                <a:schemeClr val="accent2"/>
              </a:solidFill>
              <a:round/>
            </a:ln>
            <a:effectLst/>
          </c:spPr>
          <c:marker>
            <c:symbol val="diamond"/>
            <c:size val="7"/>
            <c:spPr>
              <a:solidFill>
                <a:schemeClr val="accent2">
                  <a:lumMod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tables'!$Q$2:$Q$14</c:f>
              <c:numCache>
                <c:formatCode>General</c:formatCode>
                <c:ptCount val="12"/>
                <c:pt idx="0">
                  <c:v>33</c:v>
                </c:pt>
                <c:pt idx="1">
                  <c:v>32</c:v>
                </c:pt>
                <c:pt idx="2">
                  <c:v>30</c:v>
                </c:pt>
                <c:pt idx="3">
                  <c:v>34</c:v>
                </c:pt>
                <c:pt idx="4">
                  <c:v>47</c:v>
                </c:pt>
                <c:pt idx="5">
                  <c:v>54</c:v>
                </c:pt>
                <c:pt idx="6">
                  <c:v>47</c:v>
                </c:pt>
                <c:pt idx="7">
                  <c:v>51</c:v>
                </c:pt>
                <c:pt idx="8">
                  <c:v>47</c:v>
                </c:pt>
                <c:pt idx="9">
                  <c:v>44</c:v>
                </c:pt>
                <c:pt idx="10">
                  <c:v>34</c:v>
                </c:pt>
                <c:pt idx="11">
                  <c:v>46</c:v>
                </c:pt>
              </c:numCache>
            </c:numRef>
          </c:val>
          <c:smooth val="1"/>
          <c:extLst>
            <c:ext xmlns:c16="http://schemas.microsoft.com/office/drawing/2014/chart" uri="{C3380CC4-5D6E-409C-BE32-E72D297353CC}">
              <c16:uniqueId val="{00000000-CFD2-4EEB-B76B-047E071F13A5}"/>
            </c:ext>
          </c:extLst>
        </c:ser>
        <c:dLbls>
          <c:showLegendKey val="0"/>
          <c:showVal val="0"/>
          <c:showCatName val="0"/>
          <c:showSerName val="0"/>
          <c:showPercent val="0"/>
          <c:showBubbleSize val="0"/>
        </c:dLbls>
        <c:marker val="1"/>
        <c:smooth val="0"/>
        <c:axId val="1686308064"/>
        <c:axId val="1649053680"/>
      </c:lineChart>
      <c:catAx>
        <c:axId val="16863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649053680"/>
        <c:crosses val="autoZero"/>
        <c:auto val="1"/>
        <c:lblAlgn val="ctr"/>
        <c:lblOffset val="100"/>
        <c:noMultiLvlLbl val="0"/>
      </c:catAx>
      <c:valAx>
        <c:axId val="164905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6863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tables!PivotTable4</c:name>
    <c:fmtId val="4"/>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solidFill>
                  <a:schemeClr val="accent2"/>
                </a:solidFill>
              </a:rPr>
              <a:t>Total Orders By Pizza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chemeClr val="accent2">
              <a:lumMod val="60000"/>
              <a:lumOff val="4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D71F-4213-BE77-D190F023F0FE}"/>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D71F-4213-BE77-D190F023F0FE}"/>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D71F-4213-BE77-D190F023F0FE}"/>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D71F-4213-BE77-D190F023F0F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tables'!$A$2:$A$6</c:f>
              <c:strCache>
                <c:ptCount val="4"/>
                <c:pt idx="0">
                  <c:v>L</c:v>
                </c:pt>
                <c:pt idx="1">
                  <c:v>S</c:v>
                </c:pt>
                <c:pt idx="2">
                  <c:v>M</c:v>
                </c:pt>
                <c:pt idx="3">
                  <c:v>XL</c:v>
                </c:pt>
              </c:strCache>
            </c:strRef>
          </c:cat>
          <c:val>
            <c:numRef>
              <c:f>'Pivot tables'!$B$2:$B$6</c:f>
              <c:numCache>
                <c:formatCode>General</c:formatCode>
                <c:ptCount val="4"/>
                <c:pt idx="0">
                  <c:v>197</c:v>
                </c:pt>
                <c:pt idx="1">
                  <c:v>153</c:v>
                </c:pt>
                <c:pt idx="2">
                  <c:v>138</c:v>
                </c:pt>
                <c:pt idx="3">
                  <c:v>11</c:v>
                </c:pt>
              </c:numCache>
            </c:numRef>
          </c:val>
          <c:extLst>
            <c:ext xmlns:c16="http://schemas.microsoft.com/office/drawing/2014/chart" uri="{C3380CC4-5D6E-409C-BE32-E72D297353CC}">
              <c16:uniqueId val="{00000008-D71F-4213-BE77-D190F023F0FE}"/>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tables!PivotTable5</c:name>
    <c:fmtId val="4"/>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a:solidFill>
                  <a:schemeClr val="accent2"/>
                </a:solidFill>
              </a:rPr>
              <a:t>Top 5 Peak Hours By Orders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tables'!$D$2:$D$7</c:f>
              <c:strCache>
                <c:ptCount val="5"/>
                <c:pt idx="0">
                  <c:v>5 PM</c:v>
                </c:pt>
                <c:pt idx="1">
                  <c:v>1 PM</c:v>
                </c:pt>
                <c:pt idx="2">
                  <c:v>6 PM</c:v>
                </c:pt>
                <c:pt idx="3">
                  <c:v>12 PM</c:v>
                </c:pt>
                <c:pt idx="4">
                  <c:v>7 PM</c:v>
                </c:pt>
              </c:strCache>
            </c:strRef>
          </c:cat>
          <c:val>
            <c:numRef>
              <c:f>'Pivot tables'!$E$2:$E$7</c:f>
              <c:numCache>
                <c:formatCode>General</c:formatCode>
                <c:ptCount val="5"/>
                <c:pt idx="0">
                  <c:v>72</c:v>
                </c:pt>
                <c:pt idx="1">
                  <c:v>56</c:v>
                </c:pt>
                <c:pt idx="2">
                  <c:v>55</c:v>
                </c:pt>
                <c:pt idx="3">
                  <c:v>55</c:v>
                </c:pt>
                <c:pt idx="4">
                  <c:v>51</c:v>
                </c:pt>
              </c:numCache>
            </c:numRef>
          </c:val>
          <c:extLst>
            <c:ext xmlns:c16="http://schemas.microsoft.com/office/drawing/2014/chart" uri="{C3380CC4-5D6E-409C-BE32-E72D297353CC}">
              <c16:uniqueId val="{00000000-9DBE-4E41-A6AA-3EDE03A9F3DB}"/>
            </c:ext>
          </c:extLst>
        </c:ser>
        <c:dLbls>
          <c:showLegendKey val="0"/>
          <c:showVal val="0"/>
          <c:showCatName val="0"/>
          <c:showSerName val="0"/>
          <c:showPercent val="0"/>
          <c:showBubbleSize val="0"/>
        </c:dLbls>
        <c:gapWidth val="79"/>
        <c:overlap val="-27"/>
        <c:axId val="1651137824"/>
        <c:axId val="1649059440"/>
      </c:barChart>
      <c:catAx>
        <c:axId val="16511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bg2">
                    <a:lumMod val="50000"/>
                  </a:schemeClr>
                </a:solidFill>
                <a:latin typeface="+mn-lt"/>
                <a:ea typeface="+mn-ea"/>
                <a:cs typeface="+mn-cs"/>
              </a:defRPr>
            </a:pPr>
            <a:endParaRPr lang="en-US"/>
          </a:p>
        </c:txPr>
        <c:crossAx val="1649059440"/>
        <c:crosses val="autoZero"/>
        <c:auto val="1"/>
        <c:lblAlgn val="ctr"/>
        <c:lblOffset val="100"/>
        <c:noMultiLvlLbl val="0"/>
      </c:catAx>
      <c:valAx>
        <c:axId val="1649059440"/>
        <c:scaling>
          <c:orientation val="minMax"/>
        </c:scaling>
        <c:delete val="1"/>
        <c:axPos val="l"/>
        <c:numFmt formatCode="General" sourceLinked="1"/>
        <c:majorTickMark val="none"/>
        <c:minorTickMark val="none"/>
        <c:tickLblPos val="nextTo"/>
        <c:crossAx val="16511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Sales Percentage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2">
              <a:lumMod val="60000"/>
              <a:lumOff val="40000"/>
            </a:schemeClr>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w="19050">
            <a:solidFill>
              <a:schemeClr val="lt1"/>
            </a:solidFill>
          </a:ln>
          <a:effectLst/>
        </c:spPr>
      </c:pivotFmt>
      <c:pivotFmt>
        <c:idx val="7"/>
        <c:spPr>
          <a:solidFill>
            <a:schemeClr val="accent2">
              <a:lumMod val="75000"/>
            </a:schemeClr>
          </a:solidFill>
          <a:ln w="19050">
            <a:solidFill>
              <a:schemeClr val="lt1"/>
            </a:solidFill>
          </a:ln>
          <a:effectLst/>
        </c:spPr>
      </c:pivotFmt>
      <c:pivotFmt>
        <c:idx val="8"/>
        <c:spPr>
          <a:solidFill>
            <a:schemeClr val="accent2">
              <a:lumMod val="60000"/>
              <a:lumOff val="4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50000"/>
            </a:schemeClr>
          </a:solidFill>
          <a:ln w="19050">
            <a:solidFill>
              <a:schemeClr val="lt1"/>
            </a:solidFill>
          </a:ln>
          <a:effectLst/>
        </c:spPr>
      </c:pivotFmt>
      <c:pivotFmt>
        <c:idx val="12"/>
        <c:spPr>
          <a:solidFill>
            <a:schemeClr val="accent2">
              <a:lumMod val="75000"/>
            </a:schemeClr>
          </a:solidFill>
          <a:ln w="19050">
            <a:solidFill>
              <a:schemeClr val="lt1"/>
            </a:solidFill>
          </a:ln>
          <a:effectLst/>
        </c:spPr>
      </c:pivotFmt>
      <c:pivotFmt>
        <c:idx val="13"/>
        <c:spPr>
          <a:solidFill>
            <a:schemeClr val="accent2">
              <a:lumMod val="60000"/>
              <a:lumOff val="40000"/>
            </a:schemeClr>
          </a:solidFill>
          <a:ln w="19050">
            <a:solidFill>
              <a:schemeClr val="lt1"/>
            </a:solidFill>
          </a:ln>
          <a:effectLst/>
        </c:spPr>
      </c:pivotFmt>
      <c:pivotFmt>
        <c:idx val="14"/>
        <c:spPr>
          <a:solidFill>
            <a:schemeClr val="accent2">
              <a:lumMod val="40000"/>
              <a:lumOff val="60000"/>
            </a:schemeClr>
          </a:solidFill>
          <a:ln w="19050">
            <a:solidFill>
              <a:schemeClr val="lt1"/>
            </a:solidFill>
          </a:ln>
          <a:effectLst/>
        </c:spPr>
      </c:pivotFmt>
    </c:pivotFmts>
    <c:plotArea>
      <c:layout/>
      <c:pieChart>
        <c:varyColors val="1"/>
        <c:ser>
          <c:idx val="0"/>
          <c:order val="0"/>
          <c:tx>
            <c:strRef>
              <c:f>'Pivot tables'!$I$1</c:f>
              <c:strCache>
                <c:ptCount val="1"/>
                <c:pt idx="0">
                  <c:v>Total</c:v>
                </c:pt>
              </c:strCache>
            </c:strRef>
          </c:tx>
          <c:explosion val="10"/>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C5E9-426D-8452-D7076CDDD001}"/>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C5E9-426D-8452-D7076CDDD001}"/>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C5E9-426D-8452-D7076CDDD001}"/>
              </c:ext>
            </c:extLst>
          </c:dPt>
          <c:dPt>
            <c:idx val="3"/>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7-C5E9-426D-8452-D7076CDDD00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tables'!$H$2:$H$6</c:f>
              <c:strCache>
                <c:ptCount val="4"/>
                <c:pt idx="0">
                  <c:v>Veggie</c:v>
                </c:pt>
                <c:pt idx="1">
                  <c:v>Classic</c:v>
                </c:pt>
                <c:pt idx="2">
                  <c:v>Supreme</c:v>
                </c:pt>
                <c:pt idx="3">
                  <c:v>Chicken</c:v>
                </c:pt>
              </c:strCache>
            </c:strRef>
          </c:cat>
          <c:val>
            <c:numRef>
              <c:f>'Pivot tables'!$I$2:$I$6</c:f>
              <c:numCache>
                <c:formatCode>0%</c:formatCode>
                <c:ptCount val="4"/>
                <c:pt idx="0">
                  <c:v>0.28037410873572355</c:v>
                </c:pt>
                <c:pt idx="1">
                  <c:v>0.26964633922274045</c:v>
                </c:pt>
                <c:pt idx="2">
                  <c:v>0.24324772849852713</c:v>
                </c:pt>
                <c:pt idx="3">
                  <c:v>0.20673182354300884</c:v>
                </c:pt>
              </c:numCache>
            </c:numRef>
          </c:val>
          <c:extLst>
            <c:ext xmlns:c16="http://schemas.microsoft.com/office/drawing/2014/chart" uri="{C3380CC4-5D6E-409C-BE32-E72D297353CC}">
              <c16:uniqueId val="{00000008-C5E9-426D-8452-D7076CDDD001}"/>
            </c:ext>
          </c:extLst>
        </c:ser>
        <c:dLbls>
          <c:showLegendKey val="0"/>
          <c:showVal val="0"/>
          <c:showCatName val="0"/>
          <c:showSerName val="0"/>
          <c:showPercent val="0"/>
          <c:showBubbleSize val="0"/>
          <c:showLeaderLines val="1"/>
        </c:dLbls>
        <c:firstSliceAng val="1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 10 </a:t>
            </a:r>
            <a:r>
              <a:rPr lang="en-US" b="1">
                <a:solidFill>
                  <a:schemeClr val="accent2">
                    <a:lumMod val="75000"/>
                  </a:schemeClr>
                </a:solidFill>
              </a:rPr>
              <a:t>Pizza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s>
    <c:plotArea>
      <c:layout/>
      <c:barChart>
        <c:barDir val="bar"/>
        <c:grouping val="clustered"/>
        <c:varyColors val="0"/>
        <c:ser>
          <c:idx val="0"/>
          <c:order val="0"/>
          <c:tx>
            <c:strRef>
              <c:f>'Pivot tables'!$M$1</c:f>
              <c:strCache>
                <c:ptCount val="1"/>
                <c:pt idx="0">
                  <c:v>Total</c:v>
                </c:pt>
              </c:strCache>
            </c:strRef>
          </c:tx>
          <c:spPr>
            <a:solidFill>
              <a:schemeClr val="accent2">
                <a:lumMod val="75000"/>
              </a:schemeClr>
            </a:solidFill>
            <a:ln>
              <a:noFill/>
            </a:ln>
            <a:effectLst/>
          </c:spPr>
          <c:invertIfNegative val="0"/>
          <c:dPt>
            <c:idx val="11"/>
            <c:invertIfNegative val="0"/>
            <c:bubble3D val="0"/>
            <c:spPr>
              <a:solidFill>
                <a:schemeClr val="accent2"/>
              </a:solidFill>
              <a:ln>
                <a:noFill/>
              </a:ln>
              <a:effectLst/>
            </c:spPr>
            <c:extLst>
              <c:ext xmlns:c16="http://schemas.microsoft.com/office/drawing/2014/chart" uri="{C3380CC4-5D6E-409C-BE32-E72D297353CC}">
                <c16:uniqueId val="{00000001-D56B-4DDC-841C-A71090F513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tables'!$L$2:$L$14</c:f>
              <c:strCache>
                <c:ptCount val="12"/>
                <c:pt idx="0">
                  <c:v>The Greek Pizza</c:v>
                </c:pt>
                <c:pt idx="1">
                  <c:v>The Mexicana Pizza</c:v>
                </c:pt>
                <c:pt idx="2">
                  <c:v>The Southwest Chicken Pizza</c:v>
                </c:pt>
                <c:pt idx="3">
                  <c:v>The Pepper Salami Pizza</c:v>
                </c:pt>
                <c:pt idx="4">
                  <c:v>The Hawaiian Pizza</c:v>
                </c:pt>
                <c:pt idx="5">
                  <c:v>The Barbecue Chicken Pizza</c:v>
                </c:pt>
                <c:pt idx="6">
                  <c:v>The Thai Chicken Pizza</c:v>
                </c:pt>
                <c:pt idx="7">
                  <c:v>The Sicilian Pizza</c:v>
                </c:pt>
                <c:pt idx="8">
                  <c:v>The Big Meat Pizza</c:v>
                </c:pt>
                <c:pt idx="9">
                  <c:v>The Four Cheese Pizza</c:v>
                </c:pt>
                <c:pt idx="10">
                  <c:v>The Pepperoni Pizza</c:v>
                </c:pt>
                <c:pt idx="11">
                  <c:v>The Classic Deluxe Pizza</c:v>
                </c:pt>
              </c:strCache>
            </c:strRef>
          </c:cat>
          <c:val>
            <c:numRef>
              <c:f>'Pivot tables'!$M$2:$M$14</c:f>
              <c:numCache>
                <c:formatCode>#,##0</c:formatCode>
                <c:ptCount val="12"/>
                <c:pt idx="0">
                  <c:v>18</c:v>
                </c:pt>
                <c:pt idx="1">
                  <c:v>18</c:v>
                </c:pt>
                <c:pt idx="2">
                  <c:v>18</c:v>
                </c:pt>
                <c:pt idx="3">
                  <c:v>18</c:v>
                </c:pt>
                <c:pt idx="4">
                  <c:v>21</c:v>
                </c:pt>
                <c:pt idx="5">
                  <c:v>21</c:v>
                </c:pt>
                <c:pt idx="6">
                  <c:v>22</c:v>
                </c:pt>
                <c:pt idx="7">
                  <c:v>22</c:v>
                </c:pt>
                <c:pt idx="8">
                  <c:v>23</c:v>
                </c:pt>
                <c:pt idx="9">
                  <c:v>25</c:v>
                </c:pt>
                <c:pt idx="10">
                  <c:v>26</c:v>
                </c:pt>
                <c:pt idx="11">
                  <c:v>30</c:v>
                </c:pt>
              </c:numCache>
            </c:numRef>
          </c:val>
          <c:extLst>
            <c:ext xmlns:c16="http://schemas.microsoft.com/office/drawing/2014/chart" uri="{C3380CC4-5D6E-409C-BE32-E72D297353CC}">
              <c16:uniqueId val="{00000002-D56B-4DDC-841C-A71090F51324}"/>
            </c:ext>
          </c:extLst>
        </c:ser>
        <c:dLbls>
          <c:showLegendKey val="0"/>
          <c:showVal val="0"/>
          <c:showCatName val="0"/>
          <c:showSerName val="0"/>
          <c:showPercent val="0"/>
          <c:showBubbleSize val="0"/>
        </c:dLbls>
        <c:gapWidth val="42"/>
        <c:axId val="1655149824"/>
        <c:axId val="1648919280"/>
      </c:barChart>
      <c:catAx>
        <c:axId val="1655149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8919280"/>
        <c:crosses val="autoZero"/>
        <c:auto val="1"/>
        <c:lblAlgn val="ctr"/>
        <c:lblOffset val="100"/>
        <c:noMultiLvlLbl val="0"/>
      </c:catAx>
      <c:valAx>
        <c:axId val="16489192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149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[Pizza Sales Dashboard.xlsx]Pivot tables!PivotTable8</c:name>
    <c:fmtId val="2"/>
  </c:pivotSource>
  <c:chart>
    <c:title>
      <c:tx>
        <c:rich>
          <a:bodyPr rot="0" spcFirstLastPara="1" vertOverflow="ellipsis" vert="horz" wrap="square" anchor="ctr" anchorCtr="1"/>
          <a:lstStyle/>
          <a:p>
            <a:pPr>
              <a:defRPr lang="en-US" sz="1400" b="1" i="0" u="none" strike="noStrike" kern="1200" spc="0" baseline="0">
                <a:solidFill>
                  <a:schemeClr val="accent2"/>
                </a:solidFill>
                <a:latin typeface="+mn-lt"/>
                <a:ea typeface="+mn-ea"/>
                <a:cs typeface="+mn-cs"/>
              </a:defRPr>
            </a:pPr>
            <a:r>
              <a:rPr lang="en-US" sz="1400" b="1" i="0" u="none" strike="noStrike" kern="1200" spc="0" baseline="0">
                <a:solidFill>
                  <a:schemeClr val="accent2"/>
                </a:solidFill>
                <a:latin typeface="+mn-lt"/>
                <a:ea typeface="+mn-ea"/>
                <a:cs typeface="+mn-cs"/>
              </a:rPr>
              <a:t>Order Trend By Month</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diamond"/>
          <c:size val="7"/>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diamond"/>
          <c:size val="7"/>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diamond"/>
          <c:size val="7"/>
          <c:spPr>
            <a:solidFill>
              <a:schemeClr val="accent2">
                <a:lumMod val="5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tables'!$Q$1</c:f>
              <c:strCache>
                <c:ptCount val="1"/>
                <c:pt idx="0">
                  <c:v>Total</c:v>
                </c:pt>
              </c:strCache>
            </c:strRef>
          </c:tx>
          <c:spPr>
            <a:ln w="28575" cap="rnd">
              <a:solidFill>
                <a:schemeClr val="accent2"/>
              </a:solidFill>
              <a:round/>
            </a:ln>
            <a:effectLst/>
          </c:spPr>
          <c:marker>
            <c:symbol val="diamond"/>
            <c:size val="7"/>
            <c:spPr>
              <a:solidFill>
                <a:schemeClr val="accent2">
                  <a:lumMod val="5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tables'!$P$2:$P$14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tables'!$Q$2:$Q$14</c:f>
              <c:numCache>
                <c:formatCode>General</c:formatCode>
                <c:ptCount val="12"/>
                <c:pt idx="0">
                  <c:v>33</c:v>
                </c:pt>
                <c:pt idx="1">
                  <c:v>32</c:v>
                </c:pt>
                <c:pt idx="2">
                  <c:v>30</c:v>
                </c:pt>
                <c:pt idx="3">
                  <c:v>34</c:v>
                </c:pt>
                <c:pt idx="4">
                  <c:v>47</c:v>
                </c:pt>
                <c:pt idx="5">
                  <c:v>54</c:v>
                </c:pt>
                <c:pt idx="6">
                  <c:v>47</c:v>
                </c:pt>
                <c:pt idx="7">
                  <c:v>51</c:v>
                </c:pt>
                <c:pt idx="8">
                  <c:v>47</c:v>
                </c:pt>
                <c:pt idx="9">
                  <c:v>44</c:v>
                </c:pt>
                <c:pt idx="10">
                  <c:v>34</c:v>
                </c:pt>
                <c:pt idx="11">
                  <c:v>46</c:v>
                </c:pt>
              </c:numCache>
            </c:numRef>
          </c:val>
          <c:smooth val="1"/>
          <c:extLst>
            <c:ext xmlns:c16="http://schemas.microsoft.com/office/drawing/2014/chart" uri="{C3380CC4-5D6E-409C-BE32-E72D297353CC}">
              <c16:uniqueId val="{00000000-E722-438E-8A50-C5922D94DF17}"/>
            </c:ext>
          </c:extLst>
        </c:ser>
        <c:dLbls>
          <c:showLegendKey val="0"/>
          <c:showVal val="0"/>
          <c:showCatName val="0"/>
          <c:showSerName val="0"/>
          <c:showPercent val="0"/>
          <c:showBubbleSize val="0"/>
        </c:dLbls>
        <c:marker val="1"/>
        <c:smooth val="0"/>
        <c:axId val="1686308064"/>
        <c:axId val="1649053680"/>
      </c:lineChart>
      <c:catAx>
        <c:axId val="16863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649053680"/>
        <c:crosses val="autoZero"/>
        <c:auto val="1"/>
        <c:lblAlgn val="ctr"/>
        <c:lblOffset val="100"/>
        <c:noMultiLvlLbl val="0"/>
      </c:catAx>
      <c:valAx>
        <c:axId val="164905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2">
                    <a:lumMod val="50000"/>
                  </a:schemeClr>
                </a:solidFill>
                <a:latin typeface="+mn-lt"/>
                <a:ea typeface="+mn-ea"/>
                <a:cs typeface="+mn-cs"/>
              </a:defRPr>
            </a:pPr>
            <a:endParaRPr lang="en-US"/>
          </a:p>
        </c:txPr>
        <c:crossAx val="168630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2"/>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104775</xdr:rowOff>
    </xdr:from>
    <xdr:to>
      <xdr:col>2</xdr:col>
      <xdr:colOff>222250</xdr:colOff>
      <xdr:row>17</xdr:row>
      <xdr:rowOff>0</xdr:rowOff>
    </xdr:to>
    <xdr:graphicFrame macro="">
      <xdr:nvGraphicFramePr>
        <xdr:cNvPr id="2" name="Chart 1">
          <a:extLst>
            <a:ext uri="{FF2B5EF4-FFF2-40B4-BE49-F238E27FC236}">
              <a16:creationId xmlns:a16="http://schemas.microsoft.com/office/drawing/2014/main" id="{B30F57FF-6D6E-8490-C14A-9B1E6CF8E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558800</xdr:colOff>
      <xdr:row>7</xdr:row>
      <xdr:rowOff>117475</xdr:rowOff>
    </xdr:from>
    <xdr:to>
      <xdr:col>5</xdr:col>
      <xdr:colOff>406400</xdr:colOff>
      <xdr:row>17</xdr:row>
      <xdr:rowOff>133350</xdr:rowOff>
    </xdr:to>
    <xdr:graphicFrame macro="">
      <xdr:nvGraphicFramePr>
        <xdr:cNvPr id="4" name="Chart 3">
          <a:extLst>
            <a:ext uri="{FF2B5EF4-FFF2-40B4-BE49-F238E27FC236}">
              <a16:creationId xmlns:a16="http://schemas.microsoft.com/office/drawing/2014/main" id="{A1635CA9-8E19-1F35-F920-EB2A22057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539750</xdr:colOff>
      <xdr:row>7</xdr:row>
      <xdr:rowOff>85725</xdr:rowOff>
    </xdr:from>
    <xdr:to>
      <xdr:col>10</xdr:col>
      <xdr:colOff>0</xdr:colOff>
      <xdr:row>17</xdr:row>
      <xdr:rowOff>158750</xdr:rowOff>
    </xdr:to>
    <xdr:graphicFrame macro="">
      <xdr:nvGraphicFramePr>
        <xdr:cNvPr id="5" name="Chart 4">
          <a:extLst>
            <a:ext uri="{FF2B5EF4-FFF2-40B4-BE49-F238E27FC236}">
              <a16:creationId xmlns:a16="http://schemas.microsoft.com/office/drawing/2014/main" id="{55435D02-C206-1FFA-6EBB-FFC84811F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85725</xdr:colOff>
      <xdr:row>14</xdr:row>
      <xdr:rowOff>161925</xdr:rowOff>
    </xdr:from>
    <xdr:to>
      <xdr:col>13</xdr:col>
      <xdr:colOff>476250</xdr:colOff>
      <xdr:row>29</xdr:row>
      <xdr:rowOff>142875</xdr:rowOff>
    </xdr:to>
    <xdr:graphicFrame macro="">
      <xdr:nvGraphicFramePr>
        <xdr:cNvPr id="6" name="Chart 5">
          <a:extLst>
            <a:ext uri="{FF2B5EF4-FFF2-40B4-BE49-F238E27FC236}">
              <a16:creationId xmlns:a16="http://schemas.microsoft.com/office/drawing/2014/main" id="{7A766769-191C-45E4-AEF2-7246F3544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107950</xdr:colOff>
      <xdr:row>15</xdr:row>
      <xdr:rowOff>15875</xdr:rowOff>
    </xdr:from>
    <xdr:to>
      <xdr:col>19</xdr:col>
      <xdr:colOff>387350</xdr:colOff>
      <xdr:row>29</xdr:row>
      <xdr:rowOff>180975</xdr:rowOff>
    </xdr:to>
    <xdr:graphicFrame macro="">
      <xdr:nvGraphicFramePr>
        <xdr:cNvPr id="7" name="Chart 6">
          <a:extLst>
            <a:ext uri="{FF2B5EF4-FFF2-40B4-BE49-F238E27FC236}">
              <a16:creationId xmlns:a16="http://schemas.microsoft.com/office/drawing/2014/main" id="{FA02CDFD-64AC-4EFA-EB08-C653106C7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508000</xdr:colOff>
      <xdr:row>0</xdr:row>
      <xdr:rowOff>139700</xdr:rowOff>
    </xdr:from>
    <xdr:to>
      <xdr:col>14</xdr:col>
      <xdr:colOff>190500</xdr:colOff>
      <xdr:row>2</xdr:row>
      <xdr:rowOff>177800</xdr:rowOff>
    </xdr:to>
    <xdr:sp macro="" textlink="">
      <xdr:nvSpPr>
        <xdr:cNvPr id="2" name="TextBox 1">
          <a:extLst>
            <a:ext uri="{FF2B5EF4-FFF2-40B4-BE49-F238E27FC236}">
              <a16:creationId xmlns:a16="http://schemas.microsoft.com/office/drawing/2014/main" id="{347F9874-72AD-92BC-280B-58120D4570EF}"/>
            </a:ext>
          </a:extLst>
        </xdr:cNvPr>
        <xdr:cNvSpPr txBox="1"/>
      </xdr:nvSpPr>
      <xdr:spPr>
        <a:xfrm>
          <a:off x="2946400" y="139700"/>
          <a:ext cx="5778500"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solidFill>
              <a:latin typeface="Goudy Stout" panose="0202090407030B020401" pitchFamily="18" charset="0"/>
            </a:rPr>
            <a:t>Pizza Sales Dashboard</a:t>
          </a:r>
        </a:p>
      </xdr:txBody>
    </xdr:sp>
    <xdr:clientData/>
  </xdr:twoCellAnchor>
  <xdr:twoCellAnchor editAs="oneCell">
    <xdr:from>
      <xdr:col>4</xdr:col>
      <xdr:colOff>488950</xdr:colOff>
      <xdr:row>0</xdr:row>
      <xdr:rowOff>82550</xdr:rowOff>
    </xdr:from>
    <xdr:to>
      <xdr:col>5</xdr:col>
      <xdr:colOff>327116</xdr:colOff>
      <xdr:row>2</xdr:row>
      <xdr:rowOff>160927</xdr:rowOff>
    </xdr:to>
    <xdr:pic>
      <xdr:nvPicPr>
        <xdr:cNvPr id="3" name="Picture 2">
          <a:extLst>
            <a:ext uri="{FF2B5EF4-FFF2-40B4-BE49-F238E27FC236}">
              <a16:creationId xmlns:a16="http://schemas.microsoft.com/office/drawing/2014/main" id="{899D6C06-AD32-4294-AB05-E1FD37D745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27350" y="82550"/>
          <a:ext cx="447766" cy="446677"/>
        </a:xfrm>
        <a:prstGeom prst="rect">
          <a:avLst/>
        </a:prstGeom>
      </xdr:spPr>
    </xdr:pic>
    <xdr:clientData/>
  </xdr:twoCellAnchor>
  <xdr:twoCellAnchor editAs="oneCell">
    <xdr:from>
      <xdr:col>13</xdr:col>
      <xdr:colOff>330200</xdr:colOff>
      <xdr:row>0</xdr:row>
      <xdr:rowOff>0</xdr:rowOff>
    </xdr:from>
    <xdr:to>
      <xdr:col>14</xdr:col>
      <xdr:colOff>375440</xdr:colOff>
      <xdr:row>3</xdr:row>
      <xdr:rowOff>102390</xdr:rowOff>
    </xdr:to>
    <xdr:pic>
      <xdr:nvPicPr>
        <xdr:cNvPr id="7" name="Picture 6">
          <a:extLst>
            <a:ext uri="{FF2B5EF4-FFF2-40B4-BE49-F238E27FC236}">
              <a16:creationId xmlns:a16="http://schemas.microsoft.com/office/drawing/2014/main" id="{4545FBF7-BF1A-6AD7-BD4A-F4D1EC7F810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55000" y="0"/>
          <a:ext cx="654840" cy="654840"/>
        </a:xfrm>
        <a:prstGeom prst="rect">
          <a:avLst/>
        </a:prstGeom>
        <a:scene3d>
          <a:camera prst="orthographicFront">
            <a:rot lat="300000" lon="20699994" rev="10200000"/>
          </a:camera>
          <a:lightRig rig="threePt" dir="t"/>
        </a:scene3d>
      </xdr:spPr>
    </xdr:pic>
    <xdr:clientData/>
  </xdr:twoCellAnchor>
  <xdr:twoCellAnchor>
    <xdr:from>
      <xdr:col>0</xdr:col>
      <xdr:colOff>120650</xdr:colOff>
      <xdr:row>3</xdr:row>
      <xdr:rowOff>88901</xdr:rowOff>
    </xdr:from>
    <xdr:to>
      <xdr:col>4</xdr:col>
      <xdr:colOff>469900</xdr:colOff>
      <xdr:row>13</xdr:row>
      <xdr:rowOff>19050</xdr:rowOff>
    </xdr:to>
    <xdr:graphicFrame macro="">
      <xdr:nvGraphicFramePr>
        <xdr:cNvPr id="8" name="Chart 7">
          <a:extLst>
            <a:ext uri="{FF2B5EF4-FFF2-40B4-BE49-F238E27FC236}">
              <a16:creationId xmlns:a16="http://schemas.microsoft.com/office/drawing/2014/main" id="{10F56BF8-0950-4AE5-B565-E6D31934C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552450</xdr:colOff>
      <xdr:row>3</xdr:row>
      <xdr:rowOff>88901</xdr:rowOff>
    </xdr:from>
    <xdr:to>
      <xdr:col>11</xdr:col>
      <xdr:colOff>31750</xdr:colOff>
      <xdr:row>13</xdr:row>
      <xdr:rowOff>12701</xdr:rowOff>
    </xdr:to>
    <xdr:graphicFrame macro="">
      <xdr:nvGraphicFramePr>
        <xdr:cNvPr id="9" name="Chart 8">
          <a:extLst>
            <a:ext uri="{FF2B5EF4-FFF2-40B4-BE49-F238E27FC236}">
              <a16:creationId xmlns:a16="http://schemas.microsoft.com/office/drawing/2014/main" id="{0FCBF54E-58C9-4FAD-8928-509226B7F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101600</xdr:colOff>
      <xdr:row>3</xdr:row>
      <xdr:rowOff>101601</xdr:rowOff>
    </xdr:from>
    <xdr:to>
      <xdr:col>16</xdr:col>
      <xdr:colOff>114300</xdr:colOff>
      <xdr:row>13</xdr:row>
      <xdr:rowOff>38101</xdr:rowOff>
    </xdr:to>
    <xdr:graphicFrame macro="">
      <xdr:nvGraphicFramePr>
        <xdr:cNvPr id="10" name="Chart 9">
          <a:extLst>
            <a:ext uri="{FF2B5EF4-FFF2-40B4-BE49-F238E27FC236}">
              <a16:creationId xmlns:a16="http://schemas.microsoft.com/office/drawing/2014/main" id="{FF763367-F560-4612-9436-B752F2DC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127000</xdr:colOff>
      <xdr:row>13</xdr:row>
      <xdr:rowOff>114300</xdr:rowOff>
    </xdr:from>
    <xdr:to>
      <xdr:col>7</xdr:col>
      <xdr:colOff>571500</xdr:colOff>
      <xdr:row>28</xdr:row>
      <xdr:rowOff>95250</xdr:rowOff>
    </xdr:to>
    <xdr:graphicFrame macro="">
      <xdr:nvGraphicFramePr>
        <xdr:cNvPr id="11" name="Chart 10">
          <a:extLst>
            <a:ext uri="{FF2B5EF4-FFF2-40B4-BE49-F238E27FC236}">
              <a16:creationId xmlns:a16="http://schemas.microsoft.com/office/drawing/2014/main" id="{704CF2D6-A09D-4771-981D-636EA69A3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57150</xdr:colOff>
      <xdr:row>13</xdr:row>
      <xdr:rowOff>120650</xdr:rowOff>
    </xdr:from>
    <xdr:to>
      <xdr:col>16</xdr:col>
      <xdr:colOff>120650</xdr:colOff>
      <xdr:row>28</xdr:row>
      <xdr:rowOff>101600</xdr:rowOff>
    </xdr:to>
    <xdr:graphicFrame macro="">
      <xdr:nvGraphicFramePr>
        <xdr:cNvPr id="12" name="Chart 11">
          <a:extLst>
            <a:ext uri="{FF2B5EF4-FFF2-40B4-BE49-F238E27FC236}">
              <a16:creationId xmlns:a16="http://schemas.microsoft.com/office/drawing/2014/main" id="{842F2016-C1CB-4F02-A64F-682833C6A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184150</xdr:colOff>
      <xdr:row>3</xdr:row>
      <xdr:rowOff>127000</xdr:rowOff>
    </xdr:from>
    <xdr:to>
      <xdr:col>19</xdr:col>
      <xdr:colOff>184150</xdr:colOff>
      <xdr:row>11</xdr:row>
      <xdr:rowOff>177800</xdr:rowOff>
    </xdr:to>
    <mc:AlternateContent xmlns:mc="http://schemas.openxmlformats.org/markup-compatibility/2006">
      <mc:Choice xmlns:a14="http://schemas.microsoft.com/office/drawing/2010/main" Requires="a14">
        <xdr:graphicFrame macro="">
          <xdr:nvGraphicFramePr>
            <xdr:cNvPr id="4" name="pizza_size">
              <a:extLst>
                <a:ext uri="{FF2B5EF4-FFF2-40B4-BE49-F238E27FC236}">
                  <a16:creationId xmlns:a16="http://schemas.microsoft.com/office/drawing/2014/main" id="{041A6165-C99A-4CE9-99CE-3C2F75B28E17}"/>
                </a:ext>
              </a:extLst>
            </xdr:cNvPr>
            <xdr:cNvGraphicFramePr/>
          </xdr:nvGraphicFramePr>
          <xdr:xfrm>
            <a:off x="0" y="0"/>
            <a:ext cx="0" cy="0"/>
          </xdr:xfrm>
          <a:graphic>
            <a:graphicData uri="http://schemas.microsoft.com/office/drawing/2010/slicer">
              <sle:slicer xmlns:sle="http://schemas.microsoft.com/office/drawing/2010/slicer" name="pizza_size"/>
            </a:graphicData>
          </a:graphic>
        </xdr:graphicFrame>
      </mc:Choice>
      <mc:Fallback>
        <xdr:sp macro="" textlink="">
          <xdr:nvSpPr>
            <xdr:cNvPr id="0" name=""/>
            <xdr:cNvSpPr>
              <a:spLocks noTextEdit="1"/>
            </xdr:cNvSpPr>
          </xdr:nvSpPr>
          <xdr:spPr>
            <a:xfrm>
              <a:off x="9937750" y="679450"/>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177800</xdr:colOff>
      <xdr:row>12</xdr:row>
      <xdr:rowOff>31750</xdr:rowOff>
    </xdr:from>
    <xdr:to>
      <xdr:col>19</xdr:col>
      <xdr:colOff>177800</xdr:colOff>
      <xdr:row>20</xdr:row>
      <xdr:rowOff>63500</xdr:rowOff>
    </xdr:to>
    <mc:AlternateContent xmlns:mc="http://schemas.openxmlformats.org/markup-compatibility/2006">
      <mc:Choice xmlns:a14="http://schemas.microsoft.com/office/drawing/2010/main" Requires="a14">
        <xdr:graphicFrame macro="">
          <xdr:nvGraphicFramePr>
            <xdr:cNvPr id="5" name="pizza_category">
              <a:extLst>
                <a:ext uri="{FF2B5EF4-FFF2-40B4-BE49-F238E27FC236}">
                  <a16:creationId xmlns:a16="http://schemas.microsoft.com/office/drawing/2014/main" id="{25440D97-7C0F-499E-B5B2-40E49C60CEA4}"/>
                </a:ext>
              </a:extLst>
            </xdr:cNvPr>
            <xdr:cNvGraphicFramePr/>
          </xdr:nvGraphicFramePr>
          <xdr:xfrm>
            <a:off x="0" y="0"/>
            <a:ext cx="0" cy="0"/>
          </xdr:xfrm>
          <a:graphic>
            <a:graphicData uri="http://schemas.microsoft.com/office/drawing/2010/slicer">
              <sle:slicer xmlns:sle="http://schemas.microsoft.com/office/drawing/2010/slicer" name="pizza_category"/>
            </a:graphicData>
          </a:graphic>
        </xdr:graphicFrame>
      </mc:Choice>
      <mc:Fallback>
        <xdr:sp macro="" textlink="">
          <xdr:nvSpPr>
            <xdr:cNvPr id="0" name=""/>
            <xdr:cNvSpPr>
              <a:spLocks noTextEdit="1"/>
            </xdr:cNvSpPr>
          </xdr:nvSpPr>
          <xdr:spPr>
            <a:xfrm>
              <a:off x="9931400" y="2241550"/>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177800</xdr:colOff>
      <xdr:row>20</xdr:row>
      <xdr:rowOff>95250</xdr:rowOff>
    </xdr:from>
    <xdr:to>
      <xdr:col>19</xdr:col>
      <xdr:colOff>177800</xdr:colOff>
      <xdr:row>28</xdr:row>
      <xdr:rowOff>101600</xdr:rowOff>
    </xdr:to>
    <mc:AlternateContent xmlns:mc="http://schemas.openxmlformats.org/markup-compatibility/2006">
      <mc:Choice xmlns:tsle="http://schemas.microsoft.com/office/drawing/2012/timeslicer" Requires="tsle">
        <xdr:graphicFrame macro="">
          <xdr:nvGraphicFramePr>
            <xdr:cNvPr id="6" name="order_date (تاريخ الطلب)">
              <a:extLst>
                <a:ext uri="{FF2B5EF4-FFF2-40B4-BE49-F238E27FC236}">
                  <a16:creationId xmlns:a16="http://schemas.microsoft.com/office/drawing/2014/main" id="{75A1EB40-C1B7-4F45-8DE5-2FBCCAEBEF3D}"/>
                </a:ext>
              </a:extLst>
            </xdr:cNvPr>
            <xdr:cNvGraphicFramePr/>
          </xdr:nvGraphicFramePr>
          <xdr:xfrm>
            <a:off x="0" y="0"/>
            <a:ext cx="0" cy="0"/>
          </xdr:xfrm>
          <a:graphic>
            <a:graphicData uri="http://schemas.microsoft.com/office/drawing/2012/timeslicer">
              <tsle:timeslicer xmlns:tsle="http://schemas.microsoft.com/office/drawing/2012/timeslicer" name="order_date (تاريخ الطلب)"/>
            </a:graphicData>
          </a:graphic>
        </xdr:graphicFrame>
      </mc:Choice>
      <mc:Fallback>
        <xdr:sp macro="" textlink="">
          <xdr:nvSpPr>
            <xdr:cNvPr id="0" name=""/>
            <xdr:cNvSpPr>
              <a:spLocks noTextEdit="1"/>
            </xdr:cNvSpPr>
          </xdr:nvSpPr>
          <xdr:spPr>
            <a:xfrm>
              <a:off x="9931400" y="3778250"/>
              <a:ext cx="1828800" cy="1479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in Abdalla" refreshedDate="46297.596497106482" createdVersion="8" refreshedVersion="8" minRefreshableVersion="3" recordCount="499" xr:uid="{D3AB2D84-9333-4A3F-981F-587D3D391C53}">
  <cacheSource type="worksheet">
    <worksheetSource name="Table1"/>
  </cacheSource>
  <cacheFields count="17">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6"/>
    </cacheField>
    <cacheField name="order_time (وقت الطلب)" numFmtId="165">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4"/>
    </cacheField>
    <cacheField name="unit_price (سعر الوحدة)" numFmtId="164">
      <sharedItems containsSemiMixedTypes="0" containsString="0" containsNumber="1" minValue="9.75" maxValue="25.5"/>
    </cacheField>
    <cacheField name="Sales" numFmtId="164">
      <sharedItems containsSemiMixedTypes="0" containsString="0" containsNumber="1" minValue="9.75" maxValue="48"/>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5">
        <rangePr groupBy="second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Minutes (order_time (وقت الطلب))" numFmtId="0" databaseField="0">
      <fieldGroup base="5">
        <rangePr groupBy="minutes" startDate="1899-12-30T11:17:26" endDate="1899-12-30T23:05:17"/>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order_time (وقت الطلب))" numFmtId="0" databaseField="0">
      <fieldGroup base="5">
        <rangePr groupBy="hours" startDate="1899-12-30T11:17:26" endDate="1899-12-30T23:05:17"/>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Days (order_date (تاريخ الطلب))" numFmtId="0" databaseField="0">
      <fieldGroup base="4">
        <rangePr groupBy="days" startDate="2015-01-01T00:00:00" endDate="2015-12-29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15"/>
        </groupItems>
      </fieldGroup>
    </cacheField>
    <cacheField name="Months (order_date (تاريخ الطلب))" numFmtId="0" databaseField="0">
      <fieldGroup base="4">
        <rangePr groupBy="months" startDate="2015-01-01T00:00:00" endDate="2015-12-29T00:00:00"/>
        <groupItems count="14">
          <s v="&lt;1/1/2015"/>
          <s v="Jan"/>
          <s v="Feb"/>
          <s v="Mar"/>
          <s v="Apr"/>
          <s v="May"/>
          <s v="Jun"/>
          <s v="Jul"/>
          <s v="Aug"/>
          <s v="Sep"/>
          <s v="Oct"/>
          <s v="Nov"/>
          <s v="Dec"/>
          <s v="&gt;12/29/2015"/>
        </groupItems>
      </fieldGroup>
    </cacheField>
  </cacheFields>
  <extLst>
    <ext xmlns:x14="http://schemas.microsoft.com/office/spreadsheetml/2009/9/main" uri="{725AE2AE-9491-48be-B2B4-4EB974FC3084}">
      <x14:pivotCacheDefinition pivotCacheId="62646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n v="16"/>
    <n v="16"/>
    <x v="0"/>
    <x v="0"/>
    <s v="Pepperoni, Mushrooms, Red Onions, Red Peppers, Bacon"/>
    <x v="0"/>
  </r>
  <r>
    <n v="2"/>
    <s v="cali_ckn_l"/>
    <s v="Taylor Mitchell"/>
    <n v="1"/>
    <x v="0"/>
    <x v="1"/>
    <n v="20.75"/>
    <n v="20.75"/>
    <x v="1"/>
    <x v="1"/>
    <s v="Chicken, Artichoke, Spinach, Garlic, Jalapeno Peppers, Fontina Cheese, Gouda Cheese"/>
    <x v="1"/>
  </r>
  <r>
    <n v="3"/>
    <s v="five_cheese_l"/>
    <s v="Amanda Clark"/>
    <n v="1"/>
    <x v="0"/>
    <x v="2"/>
    <n v="18.5"/>
    <n v="18.5"/>
    <x v="1"/>
    <x v="2"/>
    <s v="Mozzarella Cheese, Provolone Cheese, Smoked Gouda Cheese, Romano Cheese, Blue Cheese, Garlic"/>
    <x v="2"/>
  </r>
  <r>
    <n v="4"/>
    <s v="soppressata_l"/>
    <s v="Emily Parker"/>
    <n v="1"/>
    <x v="1"/>
    <x v="3"/>
    <n v="20.75"/>
    <n v="20.75"/>
    <x v="1"/>
    <x v="3"/>
    <s v="Soppressata Salami, Fontina Cheese, Mozzarella Cheese, Mushrooms, Garlic"/>
    <x v="3"/>
  </r>
  <r>
    <n v="5"/>
    <s v="the_greek_xl"/>
    <s v="Jacob Wright"/>
    <n v="1"/>
    <x v="2"/>
    <x v="4"/>
    <n v="25.5"/>
    <n v="25.5"/>
    <x v="2"/>
    <x v="0"/>
    <s v="Kalamata Olives, Feta Cheese, Tomatoes, Garlic, Beef Chuck Roast, Red Onions"/>
    <x v="4"/>
  </r>
  <r>
    <n v="6"/>
    <s v="pepperoni_l"/>
    <s v="Sophia Adams"/>
    <n v="1"/>
    <x v="2"/>
    <x v="5"/>
    <n v="15.25"/>
    <n v="15.25"/>
    <x v="1"/>
    <x v="0"/>
    <s v="Mozzarella Cheese, Pepperoni"/>
    <x v="5"/>
  </r>
  <r>
    <n v="7"/>
    <s v="prsc_argla_s"/>
    <s v="Jacob Harris"/>
    <n v="1"/>
    <x v="3"/>
    <x v="6"/>
    <n v="12.5"/>
    <n v="12.5"/>
    <x v="3"/>
    <x v="3"/>
    <s v="Prosciutto di San Daniele, Arugula, Mozzarella Cheese"/>
    <x v="6"/>
  </r>
  <r>
    <n v="8"/>
    <s v="ital_supr_l"/>
    <s v="Elizabeth Wright"/>
    <n v="1"/>
    <x v="4"/>
    <x v="7"/>
    <n v="20.75"/>
    <n v="20.75"/>
    <x v="1"/>
    <x v="3"/>
    <s v="Calabrese Salami, Capocollo, Tomatoes, Red Onions, Green Olives, Garlic"/>
    <x v="7"/>
  </r>
  <r>
    <n v="9"/>
    <s v="soppressata_s"/>
    <s v="Hannah Garcia"/>
    <n v="1"/>
    <x v="4"/>
    <x v="8"/>
    <n v="12.5"/>
    <n v="12.5"/>
    <x v="3"/>
    <x v="3"/>
    <s v="Soppressata Salami, Fontina Cheese, Mozzarella Cheese, Mushrooms, Garlic"/>
    <x v="3"/>
  </r>
  <r>
    <n v="10"/>
    <s v="mexicana_s"/>
    <s v="Zachary Smith"/>
    <n v="1"/>
    <x v="5"/>
    <x v="9"/>
    <n v="12"/>
    <n v="12"/>
    <x v="3"/>
    <x v="2"/>
    <s v="Tomatoes, Red Peppers, Jalapeno Peppers, Red Onions, Cilantro, Corn, Chipotle Sauce, Garlic"/>
    <x v="8"/>
  </r>
  <r>
    <n v="11"/>
    <s v="four_cheese_l"/>
    <s v="Ashley Evans"/>
    <n v="1"/>
    <x v="6"/>
    <x v="10"/>
    <n v="17.95"/>
    <n v="17.95"/>
    <x v="1"/>
    <x v="2"/>
    <s v="Ricotta Cheese, Gorgonzola Piccante Cheese, Mozzarella Cheese, Parmigiano Reggiano Cheese, Garlic"/>
    <x v="9"/>
  </r>
  <r>
    <n v="12"/>
    <s v="the_greek_m"/>
    <s v="Megan Turner"/>
    <n v="1"/>
    <x v="7"/>
    <x v="11"/>
    <n v="16"/>
    <n v="16"/>
    <x v="0"/>
    <x v="0"/>
    <s v="Kalamata Olives, Feta Cheese, Tomatoes, Garlic, Beef Chuck Roast, Red Onions"/>
    <x v="4"/>
  </r>
  <r>
    <n v="13"/>
    <s v="five_cheese_l"/>
    <s v="Logan Evans"/>
    <n v="1"/>
    <x v="8"/>
    <x v="12"/>
    <n v="18.5"/>
    <n v="18.5"/>
    <x v="1"/>
    <x v="2"/>
    <s v="Mozzarella Cheese, Provolone Cheese, Smoked Gouda Cheese, Romano Cheese, Blue Cheese, Garlic"/>
    <x v="2"/>
  </r>
  <r>
    <n v="14"/>
    <s v="the_greek_xl"/>
    <s v="Megan Collins"/>
    <n v="1"/>
    <x v="9"/>
    <x v="13"/>
    <n v="25.5"/>
    <n v="25.5"/>
    <x v="2"/>
    <x v="0"/>
    <s v="Kalamata Olives, Feta Cheese, Tomatoes, Garlic, Beef Chuck Roast, Red Onions"/>
    <x v="4"/>
  </r>
  <r>
    <n v="15"/>
    <s v="spicy_ital_l"/>
    <s v="Amber Wright"/>
    <n v="1"/>
    <x v="9"/>
    <x v="14"/>
    <n v="20.75"/>
    <n v="20.75"/>
    <x v="1"/>
    <x v="3"/>
    <s v="Capocollo, Tomatoes, Goat Cheese, Artichokes, Peperoncini verdi, Garlic"/>
    <x v="10"/>
  </r>
  <r>
    <n v="16"/>
    <s v="ital_veggie_m"/>
    <s v="Brandon Jones"/>
    <n v="1"/>
    <x v="9"/>
    <x v="15"/>
    <n v="16.75"/>
    <n v="16.75"/>
    <x v="0"/>
    <x v="2"/>
    <s v="Eggplant, Artichokes, Tomatoes, Zucchini, Red Peppers, Garlic, Pesto Sauce"/>
    <x v="11"/>
  </r>
  <r>
    <n v="17"/>
    <s v="sicilian_s"/>
    <s v="Samantha Lewis"/>
    <n v="1"/>
    <x v="10"/>
    <x v="16"/>
    <n v="12.25"/>
    <n v="12.25"/>
    <x v="3"/>
    <x v="3"/>
    <s v="Coarse Sicilian Salami, Tomatoes, Green Olives, Luganega Sausage, Onions, Garlic"/>
    <x v="12"/>
  </r>
  <r>
    <n v="18"/>
    <s v="classic_dlx_m"/>
    <s v="Courtney Gonzalez"/>
    <n v="1"/>
    <x v="11"/>
    <x v="17"/>
    <n v="16"/>
    <n v="16"/>
    <x v="0"/>
    <x v="0"/>
    <s v="Pepperoni, Mushrooms, Red Onions, Red Peppers, Bacon"/>
    <x v="0"/>
  </r>
  <r>
    <n v="19"/>
    <s v="bbq_ckn_s"/>
    <s v="Alexis Smith"/>
    <n v="1"/>
    <x v="12"/>
    <x v="18"/>
    <n v="12.75"/>
    <n v="12.75"/>
    <x v="3"/>
    <x v="1"/>
    <s v="Barbecued Chicken, Red Peppers, Green Peppers, Tomatoes, Red Onions, Barbecue Sauce"/>
    <x v="13"/>
  </r>
  <r>
    <n v="20"/>
    <s v="the_greek_m"/>
    <s v="Rachel Anderson"/>
    <n v="1"/>
    <x v="12"/>
    <x v="19"/>
    <n v="16"/>
    <n v="16"/>
    <x v="0"/>
    <x v="0"/>
    <s v="Kalamata Olives, Feta Cheese, Tomatoes, Garlic, Beef Chuck Roast, Red Onions"/>
    <x v="4"/>
  </r>
  <r>
    <n v="21"/>
    <s v="sicilian_l"/>
    <s v="Madison Davis"/>
    <n v="1"/>
    <x v="13"/>
    <x v="20"/>
    <n v="20.25"/>
    <n v="20.25"/>
    <x v="1"/>
    <x v="3"/>
    <s v="Coarse Sicilian Salami, Tomatoes, Green Olives, Luganega Sausage, Onions, Garlic"/>
    <x v="12"/>
  </r>
  <r>
    <n v="22"/>
    <s v="peppr_salami_m"/>
    <s v="Ashley Scott"/>
    <n v="1"/>
    <x v="13"/>
    <x v="21"/>
    <n v="16.5"/>
    <n v="16.5"/>
    <x v="0"/>
    <x v="3"/>
    <s v="Genoa Salami, Capocollo, Pepperoni, Tomatoes, Asiago Cheese, Garlic"/>
    <x v="14"/>
  </r>
  <r>
    <n v="23"/>
    <s v="southw_ckn_s"/>
    <s v="Christopher King"/>
    <n v="1"/>
    <x v="14"/>
    <x v="22"/>
    <n v="12.75"/>
    <n v="12.75"/>
    <x v="3"/>
    <x v="1"/>
    <s v="Chicken, Tomatoes, Red Peppers, Red Onions, Jalapeno Peppers, Corn, Cilantro, Chipotle Sauce"/>
    <x v="15"/>
  </r>
  <r>
    <n v="24"/>
    <s v="pepperoni_s"/>
    <s v="Robert Thompson"/>
    <n v="1"/>
    <x v="15"/>
    <x v="23"/>
    <n v="9.75"/>
    <n v="9.75"/>
    <x v="3"/>
    <x v="0"/>
    <s v="Mozzarella Cheese, Pepperoni"/>
    <x v="5"/>
  </r>
  <r>
    <n v="25"/>
    <s v="mediterraneo_l"/>
    <s v="Elizabeth Moore"/>
    <n v="1"/>
    <x v="16"/>
    <x v="24"/>
    <n v="20.25"/>
    <n v="20.25"/>
    <x v="1"/>
    <x v="2"/>
    <s v="Spinach, Artichokes, Kalamata Olives, Sun-dried Tomatoes, Feta Cheese, Plum Tomatoes, Red Onions"/>
    <x v="16"/>
  </r>
  <r>
    <n v="26"/>
    <s v="classic_dlx_m"/>
    <s v="Sarah Parker"/>
    <n v="1"/>
    <x v="17"/>
    <x v="25"/>
    <n v="16"/>
    <n v="16"/>
    <x v="0"/>
    <x v="0"/>
    <s v="Pepperoni, Mushrooms, Red Onions, Red Peppers, Bacon"/>
    <x v="0"/>
  </r>
  <r>
    <n v="27"/>
    <s v="thai_ckn_l"/>
    <s v="Zachary Garcia"/>
    <n v="1"/>
    <x v="18"/>
    <x v="26"/>
    <n v="20.75"/>
    <n v="20.75"/>
    <x v="1"/>
    <x v="1"/>
    <s v="Chicken, Pineapple, Tomatoes, Red Peppers, Thai Sweet Chilli Sauce"/>
    <x v="17"/>
  </r>
  <r>
    <n v="28"/>
    <s v="hawaiian_l"/>
    <s v="Brianna Moore"/>
    <n v="1"/>
    <x v="19"/>
    <x v="27"/>
    <n v="16.5"/>
    <n v="16.5"/>
    <x v="1"/>
    <x v="0"/>
    <s v="Sliced Ham, Pineapple, Mozzarella Cheese"/>
    <x v="18"/>
  </r>
  <r>
    <n v="29"/>
    <s v="five_cheese_l"/>
    <s v="Ashley Garcia"/>
    <n v="1"/>
    <x v="19"/>
    <x v="28"/>
    <n v="18.5"/>
    <n v="18.5"/>
    <x v="1"/>
    <x v="2"/>
    <s v="Mozzarella Cheese, Provolone Cheese, Smoked Gouda Cheese, Romano Cheese, Blue Cheese, Garlic"/>
    <x v="2"/>
  </r>
  <r>
    <n v="30"/>
    <s v="four_cheese_l"/>
    <s v="Amanda Torres"/>
    <n v="1"/>
    <x v="20"/>
    <x v="29"/>
    <n v="17.95"/>
    <n v="17.95"/>
    <x v="1"/>
    <x v="2"/>
    <s v="Ricotta Cheese, Gorgonzola Piccante Cheese, Mozzarella Cheese, Parmigiano Reggiano Cheese, Garlic"/>
    <x v="9"/>
  </r>
  <r>
    <n v="31"/>
    <s v="bbq_ckn_l"/>
    <s v="Jessica Martin"/>
    <n v="1"/>
    <x v="21"/>
    <x v="30"/>
    <n v="20.75"/>
    <n v="20.75"/>
    <x v="1"/>
    <x v="1"/>
    <s v="Barbecued Chicken, Red Peppers, Green Peppers, Tomatoes, Red Onions, Barbecue Sauce"/>
    <x v="13"/>
  </r>
  <r>
    <n v="32"/>
    <s v="cali_ckn_l"/>
    <s v="Elizabeth Sanchez"/>
    <n v="1"/>
    <x v="21"/>
    <x v="31"/>
    <n v="20.75"/>
    <n v="20.75"/>
    <x v="1"/>
    <x v="1"/>
    <s v="Chicken, Artichoke, Spinach, Garlic, Jalapeno Peppers, Fontina Cheese, Gouda Cheese"/>
    <x v="1"/>
  </r>
  <r>
    <n v="33"/>
    <s v="bbq_ckn_l"/>
    <s v="Dylan Wright"/>
    <n v="1"/>
    <x v="22"/>
    <x v="32"/>
    <n v="20.75"/>
    <n v="20.75"/>
    <x v="1"/>
    <x v="1"/>
    <s v="Barbecued Chicken, Red Peppers, Green Peppers, Tomatoes, Red Onions, Barbecue Sauce"/>
    <x v="13"/>
  </r>
  <r>
    <n v="34"/>
    <s v="spicy_ital_s"/>
    <s v="Logan Hernandez"/>
    <n v="1"/>
    <x v="23"/>
    <x v="33"/>
    <n v="12.5"/>
    <n v="12.5"/>
    <x v="3"/>
    <x v="3"/>
    <s v="Capocollo, Tomatoes, Goat Cheese, Artichokes, Peperoncini verdi, Garlic"/>
    <x v="10"/>
  </r>
  <r>
    <n v="35"/>
    <s v="mexicana_m"/>
    <s v="Zachary Johnson"/>
    <n v="1"/>
    <x v="23"/>
    <x v="34"/>
    <n v="16"/>
    <n v="16"/>
    <x v="0"/>
    <x v="2"/>
    <s v="Tomatoes, Red Peppers, Jalapeno Peppers, Red Onions, Cilantro, Corn, Chipotle Sauce, Garlic"/>
    <x v="8"/>
  </r>
  <r>
    <n v="36"/>
    <s v="spicy_ital_l"/>
    <s v="Dylan Nelson"/>
    <n v="1"/>
    <x v="24"/>
    <x v="35"/>
    <n v="20.75"/>
    <n v="20.75"/>
    <x v="1"/>
    <x v="3"/>
    <s v="Capocollo, Tomatoes, Goat Cheese, Artichokes, Peperoncini verdi, Garlic"/>
    <x v="10"/>
  </r>
  <r>
    <n v="37"/>
    <s v="veggie_veg_m"/>
    <s v="Brianna Allen"/>
    <n v="1"/>
    <x v="25"/>
    <x v="36"/>
    <n v="16"/>
    <n v="16"/>
    <x v="0"/>
    <x v="2"/>
    <s v="Mushrooms, Tomatoes, Red Peppers, Green Peppers, Red Onions, Zucchini, Spinach, Garlic"/>
    <x v="19"/>
  </r>
  <r>
    <n v="38"/>
    <s v="peppr_salami_s"/>
    <s v="Andrew Wright"/>
    <n v="1"/>
    <x v="26"/>
    <x v="37"/>
    <n v="12.5"/>
    <n v="12.5"/>
    <x v="3"/>
    <x v="3"/>
    <s v="Genoa Salami, Capocollo, Pepperoni, Tomatoes, Asiago Cheese, Garlic"/>
    <x v="14"/>
  </r>
  <r>
    <n v="39"/>
    <s v="hawaiian_s"/>
    <s v="Elizabeth Harris"/>
    <n v="1"/>
    <x v="27"/>
    <x v="38"/>
    <n v="10.5"/>
    <n v="10.5"/>
    <x v="3"/>
    <x v="0"/>
    <s v="Sliced Ham, Pineapple, Mozzarella Cheese"/>
    <x v="18"/>
  </r>
  <r>
    <n v="40"/>
    <s v="mediterraneo_l"/>
    <s v="Anthony Ramirez"/>
    <n v="1"/>
    <x v="27"/>
    <x v="39"/>
    <n v="20.25"/>
    <n v="20.25"/>
    <x v="1"/>
    <x v="2"/>
    <s v="Spinach, Artichokes, Kalamata Olives, Sun-dried Tomatoes, Feta Cheese, Plum Tomatoes, Red Onions"/>
    <x v="16"/>
  </r>
  <r>
    <n v="41"/>
    <s v="ckn_alfredo_m"/>
    <s v="Justin Allen"/>
    <n v="1"/>
    <x v="28"/>
    <x v="40"/>
    <n v="16.75"/>
    <n v="16.75"/>
    <x v="0"/>
    <x v="1"/>
    <s v="Chicken, Red Onions, Red Peppers, Mushrooms, Asiago Cheese, Alfredo Sauce"/>
    <x v="20"/>
  </r>
  <r>
    <n v="42"/>
    <s v="thai_ckn_m"/>
    <s v="Jennifer Allen"/>
    <n v="1"/>
    <x v="28"/>
    <x v="41"/>
    <n v="16.75"/>
    <n v="16.75"/>
    <x v="0"/>
    <x v="1"/>
    <s v="Chicken, Pineapple, Tomatoes, Red Peppers, Thai Sweet Chilli Sauce"/>
    <x v="17"/>
  </r>
  <r>
    <n v="43"/>
    <s v="the_greek_l"/>
    <s v="Amber Scott"/>
    <n v="1"/>
    <x v="29"/>
    <x v="42"/>
    <n v="20.5"/>
    <n v="20.5"/>
    <x v="1"/>
    <x v="0"/>
    <s v="Kalamata Olives, Feta Cheese, Tomatoes, Garlic, Beef Chuck Roast, Red Onions"/>
    <x v="4"/>
  </r>
  <r>
    <n v="44"/>
    <s v="hawaiian_s"/>
    <s v="Justin Johnson"/>
    <n v="1"/>
    <x v="29"/>
    <x v="43"/>
    <n v="10.5"/>
    <n v="10.5"/>
    <x v="3"/>
    <x v="0"/>
    <s v="Sliced Ham, Pineapple, Mozzarella Cheese"/>
    <x v="18"/>
  </r>
  <r>
    <n v="45"/>
    <s v="ckn_pesto_l"/>
    <s v="Victoria Perez"/>
    <n v="1"/>
    <x v="30"/>
    <x v="44"/>
    <n v="20.75"/>
    <n v="20.75"/>
    <x v="1"/>
    <x v="1"/>
    <s v="Chicken, Tomatoes, Red Peppers, Spinach, Garlic, Pesto Sauce"/>
    <x v="21"/>
  </r>
  <r>
    <n v="46"/>
    <s v="four_cheese_l"/>
    <s v="Sophia Green"/>
    <n v="1"/>
    <x v="31"/>
    <x v="45"/>
    <n v="17.95"/>
    <n v="17.95"/>
    <x v="1"/>
    <x v="2"/>
    <s v="Ricotta Cheese, Gorgonzola Piccante Cheese, Mozzarella Cheese, Parmigiano Reggiano Cheese, Garlic"/>
    <x v="9"/>
  </r>
  <r>
    <n v="47"/>
    <s v="sicilian_l"/>
    <s v="Zachary Evans"/>
    <n v="1"/>
    <x v="32"/>
    <x v="46"/>
    <n v="20.25"/>
    <n v="20.25"/>
    <x v="1"/>
    <x v="3"/>
    <s v="Coarse Sicilian Salami, Tomatoes, Green Olives, Luganega Sausage, Onions, Garlic"/>
    <x v="12"/>
  </r>
  <r>
    <n v="48"/>
    <s v="calabrese_l"/>
    <s v="Sarah Green"/>
    <n v="1"/>
    <x v="33"/>
    <x v="47"/>
    <n v="20.25"/>
    <n v="20.25"/>
    <x v="1"/>
    <x v="3"/>
    <s v="慛duja Salami, Pancetta, Tomatoes, Red Onions, Friggitello Peppers, Garlic"/>
    <x v="22"/>
  </r>
  <r>
    <n v="49"/>
    <s v="ital_supr_l"/>
    <s v="Amber Evans"/>
    <n v="1"/>
    <x v="33"/>
    <x v="48"/>
    <n v="20.75"/>
    <n v="20.75"/>
    <x v="1"/>
    <x v="3"/>
    <s v="Calabrese Salami, Capocollo, Tomatoes, Red Onions, Green Olives, Garlic"/>
    <x v="7"/>
  </r>
  <r>
    <n v="50"/>
    <s v="ital_veggie_m"/>
    <s v="Alexis Perez"/>
    <n v="1"/>
    <x v="33"/>
    <x v="49"/>
    <n v="16.75"/>
    <n v="16.75"/>
    <x v="0"/>
    <x v="2"/>
    <s v="Eggplant, Artichokes, Tomatoes, Zucchini, Red Peppers, Garlic, Pesto Sauce"/>
    <x v="11"/>
  </r>
  <r>
    <n v="51"/>
    <s v="peppr_salami_s"/>
    <s v="Sarah Martinez"/>
    <n v="1"/>
    <x v="34"/>
    <x v="50"/>
    <n v="12.5"/>
    <n v="12.5"/>
    <x v="3"/>
    <x v="3"/>
    <s v="Genoa Salami, Capocollo, Pepperoni, Tomatoes, Asiago Cheese, Garlic"/>
    <x v="14"/>
  </r>
  <r>
    <n v="52"/>
    <s v="peppr_salami_l"/>
    <s v="Justin Gonzalez"/>
    <n v="1"/>
    <x v="35"/>
    <x v="51"/>
    <n v="20.75"/>
    <n v="20.75"/>
    <x v="1"/>
    <x v="3"/>
    <s v="Genoa Salami, Capocollo, Pepperoni, Tomatoes, Asiago Cheese, Garlic"/>
    <x v="14"/>
  </r>
  <r>
    <n v="53"/>
    <s v="sicilian_m"/>
    <s v="Anthony Torres"/>
    <n v="1"/>
    <x v="35"/>
    <x v="52"/>
    <n v="16.25"/>
    <n v="16.25"/>
    <x v="0"/>
    <x v="3"/>
    <s v="Coarse Sicilian Salami, Tomatoes, Green Olives, Luganega Sausage, Onions, Garlic"/>
    <x v="12"/>
  </r>
  <r>
    <n v="54"/>
    <s v="prsc_argla_m"/>
    <s v="Matthew Wright"/>
    <n v="1"/>
    <x v="36"/>
    <x v="53"/>
    <n v="16.5"/>
    <n v="16.5"/>
    <x v="0"/>
    <x v="3"/>
    <s v="Prosciutto di San Daniele, Arugula, Mozzarella Cheese"/>
    <x v="6"/>
  </r>
  <r>
    <n v="55"/>
    <s v="mexicana_m"/>
    <s v="Brandon Carter"/>
    <n v="1"/>
    <x v="36"/>
    <x v="54"/>
    <n v="16"/>
    <n v="16"/>
    <x v="0"/>
    <x v="2"/>
    <s v="Tomatoes, Red Peppers, Jalapeno Peppers, Red Onions, Cilantro, Corn, Chipotle Sauce, Garlic"/>
    <x v="8"/>
  </r>
  <r>
    <n v="56"/>
    <s v="prsc_argla_l"/>
    <s v="Matthew Thompson"/>
    <n v="1"/>
    <x v="36"/>
    <x v="55"/>
    <n v="20.75"/>
    <n v="20.75"/>
    <x v="1"/>
    <x v="3"/>
    <s v="Prosciutto di San Daniele, Arugula, Mozzarella Cheese"/>
    <x v="6"/>
  </r>
  <r>
    <n v="57"/>
    <s v="peppr_salami_l"/>
    <s v="Amanda Lopez"/>
    <n v="1"/>
    <x v="37"/>
    <x v="56"/>
    <n v="20.75"/>
    <n v="20.75"/>
    <x v="1"/>
    <x v="3"/>
    <s v="Genoa Salami, Capocollo, Pepperoni, Tomatoes, Asiago Cheese, Garlic"/>
    <x v="14"/>
  </r>
  <r>
    <n v="58"/>
    <s v="prsc_argla_s"/>
    <s v="Robert Lopez"/>
    <n v="1"/>
    <x v="37"/>
    <x v="57"/>
    <n v="12.5"/>
    <n v="12.5"/>
    <x v="3"/>
    <x v="3"/>
    <s v="Prosciutto di San Daniele, Arugula, Mozzarella Cheese"/>
    <x v="6"/>
  </r>
  <r>
    <n v="59"/>
    <s v="southw_ckn_l"/>
    <s v="Elizabeth Allen"/>
    <n v="1"/>
    <x v="38"/>
    <x v="58"/>
    <n v="20.75"/>
    <n v="20.75"/>
    <x v="1"/>
    <x v="1"/>
    <s v="Chicken, Tomatoes, Red Peppers, Red Onions, Jalapeno Peppers, Corn, Cilantro, Chipotle Sauce"/>
    <x v="15"/>
  </r>
  <r>
    <n v="60"/>
    <s v="spin_pesto_s"/>
    <s v="Jessica Roberts"/>
    <n v="1"/>
    <x v="38"/>
    <x v="59"/>
    <n v="12.5"/>
    <n v="12.5"/>
    <x v="3"/>
    <x v="2"/>
    <s v="Spinach, Artichokes, Tomatoes, Sun-dried Tomatoes, Garlic, Pesto Sauce"/>
    <x v="23"/>
  </r>
  <r>
    <n v="61"/>
    <s v="prsc_argla_m"/>
    <s v="Rachel Campbell"/>
    <n v="1"/>
    <x v="39"/>
    <x v="60"/>
    <n v="16.5"/>
    <n v="16.5"/>
    <x v="0"/>
    <x v="3"/>
    <s v="Prosciutto di San Daniele, Arugula, Mozzarella Cheese"/>
    <x v="6"/>
  </r>
  <r>
    <n v="62"/>
    <s v="sicilian_s"/>
    <s v="Samantha Young"/>
    <n v="1"/>
    <x v="40"/>
    <x v="61"/>
    <n v="12.25"/>
    <n v="12.25"/>
    <x v="3"/>
    <x v="3"/>
    <s v="Coarse Sicilian Salami, Tomatoes, Green Olives, Luganega Sausage, Onions, Garlic"/>
    <x v="12"/>
  </r>
  <r>
    <n v="63"/>
    <s v="big_meat_s"/>
    <s v="Stephanie Scott"/>
    <n v="1"/>
    <x v="41"/>
    <x v="62"/>
    <n v="12"/>
    <n v="12"/>
    <x v="3"/>
    <x v="0"/>
    <s v="Bacon, Pepperoni, Italian Sausage, Chorizo Sausage"/>
    <x v="24"/>
  </r>
  <r>
    <n v="64"/>
    <s v="mexicana_m"/>
    <s v="Alexander Williams"/>
    <n v="1"/>
    <x v="41"/>
    <x v="63"/>
    <n v="16"/>
    <n v="16"/>
    <x v="0"/>
    <x v="2"/>
    <s v="Tomatoes, Red Peppers, Jalapeno Peppers, Red Onions, Cilantro, Corn, Chipotle Sauce, Garlic"/>
    <x v="8"/>
  </r>
  <r>
    <n v="65"/>
    <s v="classic_dlx_s"/>
    <s v="Daniel White"/>
    <n v="1"/>
    <x v="41"/>
    <x v="64"/>
    <n v="12"/>
    <n v="12"/>
    <x v="3"/>
    <x v="0"/>
    <s v="Pepperoni, Mushrooms, Red Onions, Red Peppers, Bacon"/>
    <x v="0"/>
  </r>
  <r>
    <n v="66"/>
    <s v="southw_ckn_s"/>
    <s v="Lauren Phillips"/>
    <n v="1"/>
    <x v="42"/>
    <x v="65"/>
    <n v="12.75"/>
    <n v="12.75"/>
    <x v="3"/>
    <x v="1"/>
    <s v="Chicken, Tomatoes, Red Peppers, Red Onions, Jalapeno Peppers, Corn, Cilantro, Chipotle Sauce"/>
    <x v="15"/>
  </r>
  <r>
    <n v="67"/>
    <s v="ital_cpcllo_l"/>
    <s v="Daniel Allen"/>
    <n v="1"/>
    <x v="43"/>
    <x v="66"/>
    <n v="20.5"/>
    <n v="20.5"/>
    <x v="1"/>
    <x v="0"/>
    <s v="Capocollo, Red Peppers, Tomatoes, Goat Cheese, Garlic, Oregano"/>
    <x v="25"/>
  </r>
  <r>
    <n v="68"/>
    <s v="napolitana_s"/>
    <s v="Christopher Jackson"/>
    <n v="1"/>
    <x v="44"/>
    <x v="67"/>
    <n v="12"/>
    <n v="12"/>
    <x v="3"/>
    <x v="0"/>
    <s v="Tomatoes, Anchovies, Green Olives, Red Onions, Garlic"/>
    <x v="26"/>
  </r>
  <r>
    <n v="69"/>
    <s v="bbq_ckn_l"/>
    <s v="Anthony White"/>
    <n v="1"/>
    <x v="45"/>
    <x v="68"/>
    <n v="20.75"/>
    <n v="20.75"/>
    <x v="1"/>
    <x v="1"/>
    <s v="Barbecued Chicken, Red Peppers, Green Peppers, Tomatoes, Red Onions, Barbecue Sauce"/>
    <x v="13"/>
  </r>
  <r>
    <n v="70"/>
    <s v="hawaiian_m"/>
    <s v="Amber Evans"/>
    <n v="1"/>
    <x v="45"/>
    <x v="69"/>
    <n v="13.25"/>
    <n v="13.25"/>
    <x v="0"/>
    <x v="0"/>
    <s v="Sliced Ham, Pineapple, Mozzarella Cheese"/>
    <x v="18"/>
  </r>
  <r>
    <n v="71"/>
    <s v="soppressata_l"/>
    <s v="Amanda Young"/>
    <n v="1"/>
    <x v="45"/>
    <x v="70"/>
    <n v="20.75"/>
    <n v="20.75"/>
    <x v="1"/>
    <x v="3"/>
    <s v="Soppressata Salami, Fontina Cheese, Mozzarella Cheese, Mushrooms, Garlic"/>
    <x v="3"/>
  </r>
  <r>
    <n v="72"/>
    <s v="hawaiian_s"/>
    <s v="Alexander Smith"/>
    <n v="1"/>
    <x v="46"/>
    <x v="71"/>
    <n v="10.5"/>
    <n v="10.5"/>
    <x v="3"/>
    <x v="0"/>
    <s v="Sliced Ham, Pineapple, Mozzarella Cheese"/>
    <x v="18"/>
  </r>
  <r>
    <n v="73"/>
    <s v="hawaiian_s"/>
    <s v="Zachary Hernandez"/>
    <n v="1"/>
    <x v="46"/>
    <x v="72"/>
    <n v="10.5"/>
    <n v="10.5"/>
    <x v="3"/>
    <x v="0"/>
    <s v="Sliced Ham, Pineapple, Mozzarella Cheese"/>
    <x v="18"/>
  </r>
  <r>
    <n v="74"/>
    <s v="spin_pesto_l"/>
    <s v="Alexis White"/>
    <n v="1"/>
    <x v="47"/>
    <x v="73"/>
    <n v="20.75"/>
    <n v="20.75"/>
    <x v="1"/>
    <x v="2"/>
    <s v="Spinach, Artichokes, Tomatoes, Sun-dried Tomatoes, Garlic, Pesto Sauce"/>
    <x v="23"/>
  </r>
  <r>
    <n v="75"/>
    <s v="classic_dlx_s"/>
    <s v="Tyler Adams"/>
    <n v="1"/>
    <x v="48"/>
    <x v="74"/>
    <n v="12"/>
    <n v="12"/>
    <x v="3"/>
    <x v="0"/>
    <s v="Pepperoni, Mushrooms, Red Onions, Red Peppers, Bacon"/>
    <x v="0"/>
  </r>
  <r>
    <n v="76"/>
    <s v="veggie_veg_m"/>
    <s v="Brandon Williams"/>
    <n v="3"/>
    <x v="49"/>
    <x v="75"/>
    <n v="16"/>
    <n v="48"/>
    <x v="0"/>
    <x v="2"/>
    <s v="Mushrooms, Tomatoes, Red Peppers, Green Peppers, Red Onions, Zucchini, Spinach, Garlic"/>
    <x v="19"/>
  </r>
  <r>
    <n v="77"/>
    <s v="green_garden_s"/>
    <s v="Brianna Scott"/>
    <n v="1"/>
    <x v="50"/>
    <x v="76"/>
    <n v="12"/>
    <n v="12"/>
    <x v="3"/>
    <x v="2"/>
    <s v="Spinach, Mushrooms, Tomatoes, Green Olives, Feta Cheese"/>
    <x v="27"/>
  </r>
  <r>
    <n v="78"/>
    <s v="big_meat_s"/>
    <s v="Victoria Thomas"/>
    <n v="1"/>
    <x v="50"/>
    <x v="77"/>
    <n v="12"/>
    <n v="12"/>
    <x v="3"/>
    <x v="0"/>
    <s v="Bacon, Pepperoni, Italian Sausage, Chorizo Sausage"/>
    <x v="24"/>
  </r>
  <r>
    <n v="79"/>
    <s v="four_cheese_l"/>
    <s v="Olivia Lee"/>
    <n v="1"/>
    <x v="50"/>
    <x v="78"/>
    <n v="17.95"/>
    <n v="17.95"/>
    <x v="1"/>
    <x v="2"/>
    <s v="Ricotta Cheese, Gorgonzola Piccante Cheese, Mozzarella Cheese, Parmigiano Reggiano Cheese, Garlic"/>
    <x v="9"/>
  </r>
  <r>
    <n v="80"/>
    <s v="ital_supr_m"/>
    <s v="Hannah Jones"/>
    <n v="1"/>
    <x v="51"/>
    <x v="79"/>
    <n v="16.5"/>
    <n v="16.5"/>
    <x v="0"/>
    <x v="3"/>
    <s v="Calabrese Salami, Capocollo, Tomatoes, Red Onions, Green Olives, Garlic"/>
    <x v="7"/>
  </r>
  <r>
    <n v="81"/>
    <s v="spicy_ital_m"/>
    <s v="Andrew Miller"/>
    <n v="1"/>
    <x v="52"/>
    <x v="80"/>
    <n v="16.5"/>
    <n v="16.5"/>
    <x v="0"/>
    <x v="3"/>
    <s v="Capocollo, Tomatoes, Goat Cheese, Artichokes, Peperoncini verdi, Garlic"/>
    <x v="10"/>
  </r>
  <r>
    <n v="82"/>
    <s v="calabrese_l"/>
    <s v="Sarah Allen"/>
    <n v="1"/>
    <x v="52"/>
    <x v="81"/>
    <n v="20.25"/>
    <n v="20.25"/>
    <x v="1"/>
    <x v="3"/>
    <s v="慛duja Salami, Pancetta, Tomatoes, Red Onions, Friggitello Peppers, Garlic"/>
    <x v="22"/>
  </r>
  <r>
    <n v="83"/>
    <s v="cali_ckn_l"/>
    <s v="William Allen"/>
    <n v="1"/>
    <x v="53"/>
    <x v="82"/>
    <n v="20.75"/>
    <n v="20.75"/>
    <x v="1"/>
    <x v="1"/>
    <s v="Chicken, Artichoke, Spinach, Garlic, Jalapeno Peppers, Fontina Cheese, Gouda Cheese"/>
    <x v="1"/>
  </r>
  <r>
    <n v="84"/>
    <s v="sicilian_m"/>
    <s v="Lauren Martin"/>
    <n v="1"/>
    <x v="53"/>
    <x v="83"/>
    <n v="16.25"/>
    <n v="16.25"/>
    <x v="0"/>
    <x v="3"/>
    <s v="Coarse Sicilian Salami, Tomatoes, Green Olives, Luganega Sausage, Onions, Garlic"/>
    <x v="12"/>
  </r>
  <r>
    <n v="85"/>
    <s v="ital_veggie_l"/>
    <s v="Linda Hall"/>
    <n v="1"/>
    <x v="53"/>
    <x v="84"/>
    <n v="21"/>
    <n v="21"/>
    <x v="1"/>
    <x v="2"/>
    <s v="Eggplant, Artichokes, Tomatoes, Zucchini, Red Peppers, Garlic, Pesto Sauce"/>
    <x v="11"/>
  </r>
  <r>
    <n v="86"/>
    <s v="thai_ckn_s"/>
    <s v="Olivia Brown"/>
    <n v="1"/>
    <x v="54"/>
    <x v="85"/>
    <n v="12.75"/>
    <n v="12.75"/>
    <x v="3"/>
    <x v="1"/>
    <s v="Chicken, Pineapple, Tomatoes, Red Peppers, Thai Sweet Chilli Sauce"/>
    <x v="17"/>
  </r>
  <r>
    <n v="87"/>
    <s v="ital_supr_s"/>
    <s v="Nicholas Walker"/>
    <n v="1"/>
    <x v="54"/>
    <x v="86"/>
    <n v="12.5"/>
    <n v="12.5"/>
    <x v="3"/>
    <x v="3"/>
    <s v="Calabrese Salami, Capocollo, Tomatoes, Red Onions, Green Olives, Garlic"/>
    <x v="7"/>
  </r>
  <r>
    <n v="88"/>
    <s v="four_cheese_l"/>
    <s v="Nicholas Green"/>
    <n v="1"/>
    <x v="55"/>
    <x v="87"/>
    <n v="17.95"/>
    <n v="17.95"/>
    <x v="1"/>
    <x v="2"/>
    <s v="Ricotta Cheese, Gorgonzola Piccante Cheese, Mozzarella Cheese, Parmigiano Reggiano Cheese, Garlic"/>
    <x v="9"/>
  </r>
  <r>
    <n v="89"/>
    <s v="veggie_veg_s"/>
    <s v="Ethan Perez"/>
    <n v="1"/>
    <x v="56"/>
    <x v="88"/>
    <n v="12"/>
    <n v="12"/>
    <x v="3"/>
    <x v="2"/>
    <s v="Mushrooms, Tomatoes, Red Peppers, Green Peppers, Red Onions, Zucchini, Spinach, Garlic"/>
    <x v="19"/>
  </r>
  <r>
    <n v="90"/>
    <s v="ital_supr_m"/>
    <s v="Alexis Campbell"/>
    <n v="1"/>
    <x v="56"/>
    <x v="89"/>
    <n v="16.5"/>
    <n v="16.5"/>
    <x v="0"/>
    <x v="3"/>
    <s v="Calabrese Salami, Capocollo, Tomatoes, Red Onions, Green Olives, Garlic"/>
    <x v="7"/>
  </r>
  <r>
    <n v="91"/>
    <s v="ckn_pesto_m"/>
    <s v="Emily Wright"/>
    <n v="1"/>
    <x v="57"/>
    <x v="90"/>
    <n v="16.75"/>
    <n v="16.75"/>
    <x v="0"/>
    <x v="1"/>
    <s v="Chicken, Tomatoes, Red Peppers, Spinach, Garlic, Pesto Sauce"/>
    <x v="21"/>
  </r>
  <r>
    <n v="92"/>
    <s v="thai_ckn_l"/>
    <s v="Linda Hernandez"/>
    <n v="1"/>
    <x v="58"/>
    <x v="91"/>
    <n v="20.75"/>
    <n v="20.75"/>
    <x v="1"/>
    <x v="1"/>
    <s v="Chicken, Pineapple, Tomatoes, Red Peppers, Thai Sweet Chilli Sauce"/>
    <x v="17"/>
  </r>
  <r>
    <n v="93"/>
    <s v="calabrese_m"/>
    <s v="Jennifer Allen"/>
    <n v="1"/>
    <x v="59"/>
    <x v="92"/>
    <n v="16.25"/>
    <n v="16.25"/>
    <x v="0"/>
    <x v="3"/>
    <s v="慛duja Salami, Pancetta, Tomatoes, Red Onions, Friggitello Peppers, Garlic"/>
    <x v="22"/>
  </r>
  <r>
    <n v="94"/>
    <s v="five_cheese_l"/>
    <s v="Joseph Allen"/>
    <n v="1"/>
    <x v="60"/>
    <x v="93"/>
    <n v="18.5"/>
    <n v="18.5"/>
    <x v="1"/>
    <x v="2"/>
    <s v="Mozzarella Cheese, Provolone Cheese, Smoked Gouda Cheese, Romano Cheese, Blue Cheese, Garlic"/>
    <x v="2"/>
  </r>
  <r>
    <n v="95"/>
    <s v="spicy_ital_l"/>
    <s v="William Adams"/>
    <n v="1"/>
    <x v="60"/>
    <x v="94"/>
    <n v="20.75"/>
    <n v="20.75"/>
    <x v="1"/>
    <x v="3"/>
    <s v="Capocollo, Tomatoes, Goat Cheese, Artichokes, Peperoncini verdi, Garlic"/>
    <x v="10"/>
  </r>
  <r>
    <n v="96"/>
    <s v="peppr_salami_l"/>
    <s v="Dylan Nelson"/>
    <n v="1"/>
    <x v="61"/>
    <x v="95"/>
    <n v="20.75"/>
    <n v="20.75"/>
    <x v="1"/>
    <x v="3"/>
    <s v="Genoa Salami, Capocollo, Pepperoni, Tomatoes, Asiago Cheese, Garlic"/>
    <x v="14"/>
  </r>
  <r>
    <n v="97"/>
    <s v="thai_ckn_l"/>
    <s v="Kayla Lewis"/>
    <n v="1"/>
    <x v="62"/>
    <x v="96"/>
    <n v="20.75"/>
    <n v="20.75"/>
    <x v="1"/>
    <x v="1"/>
    <s v="Chicken, Pineapple, Tomatoes, Red Peppers, Thai Sweet Chilli Sauce"/>
    <x v="17"/>
  </r>
  <r>
    <n v="98"/>
    <s v="classic_dlx_s"/>
    <s v="Tyler Clark"/>
    <n v="1"/>
    <x v="63"/>
    <x v="97"/>
    <n v="12"/>
    <n v="12"/>
    <x v="3"/>
    <x v="0"/>
    <s v="Pepperoni, Mushrooms, Red Onions, Red Peppers, Bacon"/>
    <x v="0"/>
  </r>
  <r>
    <n v="99"/>
    <s v="soppressata_l"/>
    <s v="Stephanie Clark"/>
    <n v="1"/>
    <x v="64"/>
    <x v="98"/>
    <n v="20.75"/>
    <n v="20.75"/>
    <x v="1"/>
    <x v="3"/>
    <s v="Soppressata Salami, Fontina Cheese, Mozzarella Cheese, Mushrooms, Garlic"/>
    <x v="3"/>
  </r>
  <r>
    <n v="100"/>
    <s v="the_greek_s"/>
    <s v="Michael Anderson"/>
    <n v="1"/>
    <x v="64"/>
    <x v="99"/>
    <n v="12"/>
    <n v="12"/>
    <x v="3"/>
    <x v="0"/>
    <s v="Kalamata Olives, Feta Cheese, Tomatoes, Garlic, Beef Chuck Roast, Red Onions"/>
    <x v="4"/>
  </r>
  <r>
    <n v="101"/>
    <s v="veggie_veg_l"/>
    <s v="Ryan Clark"/>
    <n v="1"/>
    <x v="64"/>
    <x v="99"/>
    <n v="20.25"/>
    <n v="20.25"/>
    <x v="1"/>
    <x v="2"/>
    <s v="Mushrooms, Tomatoes, Red Peppers, Green Peppers, Red Onions, Zucchini, Spinach, Garlic"/>
    <x v="19"/>
  </r>
  <r>
    <n v="102"/>
    <s v="the_greek_xl"/>
    <s v="Olivia Roberts"/>
    <n v="1"/>
    <x v="64"/>
    <x v="100"/>
    <n v="25.5"/>
    <n v="25.5"/>
    <x v="2"/>
    <x v="0"/>
    <s v="Kalamata Olives, Feta Cheese, Tomatoes, Garlic, Beef Chuck Roast, Red Onions"/>
    <x v="4"/>
  </r>
  <r>
    <n v="103"/>
    <s v="bbq_ckn_s"/>
    <s v="Matthew Garcia"/>
    <n v="1"/>
    <x v="65"/>
    <x v="101"/>
    <n v="12.75"/>
    <n v="12.75"/>
    <x v="3"/>
    <x v="1"/>
    <s v="Barbecued Chicken, Red Peppers, Green Peppers, Tomatoes, Red Onions, Barbecue Sauce"/>
    <x v="13"/>
  </r>
  <r>
    <n v="104"/>
    <s v="big_meat_s"/>
    <s v="Samantha Smith"/>
    <n v="1"/>
    <x v="65"/>
    <x v="102"/>
    <n v="12"/>
    <n v="12"/>
    <x v="3"/>
    <x v="0"/>
    <s v="Bacon, Pepperoni, Italian Sausage, Chorizo Sausage"/>
    <x v="24"/>
  </r>
  <r>
    <n v="105"/>
    <s v="green_garden_m"/>
    <s v="Victoria Hall"/>
    <n v="1"/>
    <x v="66"/>
    <x v="103"/>
    <n v="16"/>
    <n v="16"/>
    <x v="0"/>
    <x v="2"/>
    <s v="Spinach, Mushrooms, Tomatoes, Green Olives, Feta Cheese"/>
    <x v="27"/>
  </r>
  <r>
    <n v="106"/>
    <s v="spicy_ital_m"/>
    <s v="Emily Williams"/>
    <n v="1"/>
    <x v="66"/>
    <x v="104"/>
    <n v="16.5"/>
    <n v="16.5"/>
    <x v="0"/>
    <x v="3"/>
    <s v="Capocollo, Tomatoes, Goat Cheese, Artichokes, Peperoncini verdi, Garlic"/>
    <x v="10"/>
  </r>
  <r>
    <n v="107"/>
    <s v="thai_ckn_l"/>
    <s v="John Garcia"/>
    <n v="1"/>
    <x v="66"/>
    <x v="105"/>
    <n v="20.75"/>
    <n v="20.75"/>
    <x v="1"/>
    <x v="1"/>
    <s v="Chicken, Pineapple, Tomatoes, Red Peppers, Thai Sweet Chilli Sauce"/>
    <x v="17"/>
  </r>
  <r>
    <n v="108"/>
    <s v="mexicana_l"/>
    <s v="Robert Perez"/>
    <n v="1"/>
    <x v="67"/>
    <x v="106"/>
    <n v="20.25"/>
    <n v="20.25"/>
    <x v="1"/>
    <x v="2"/>
    <s v="Tomatoes, Red Peppers, Jalapeno Peppers, Red Onions, Cilantro, Corn, Chipotle Sauce, Garlic"/>
    <x v="8"/>
  </r>
  <r>
    <n v="109"/>
    <s v="classic_dlx_m"/>
    <s v="Joshua Smith"/>
    <n v="1"/>
    <x v="67"/>
    <x v="107"/>
    <n v="16"/>
    <n v="16"/>
    <x v="0"/>
    <x v="0"/>
    <s v="Pepperoni, Mushrooms, Red Onions, Red Peppers, Bacon"/>
    <x v="0"/>
  </r>
  <r>
    <n v="110"/>
    <s v="the_greek_xl"/>
    <s v="Elizabeth Ramirez"/>
    <n v="1"/>
    <x v="67"/>
    <x v="108"/>
    <n v="25.5"/>
    <n v="25.5"/>
    <x v="2"/>
    <x v="0"/>
    <s v="Kalamata Olives, Feta Cheese, Tomatoes, Garlic, Beef Chuck Roast, Red Onions"/>
    <x v="4"/>
  </r>
  <r>
    <n v="111"/>
    <s v="pepperoni_l"/>
    <s v="Emily Nelson"/>
    <n v="1"/>
    <x v="67"/>
    <x v="109"/>
    <n v="15.25"/>
    <n v="15.25"/>
    <x v="1"/>
    <x v="0"/>
    <s v="Mozzarella Cheese, Pepperoni"/>
    <x v="5"/>
  </r>
  <r>
    <n v="112"/>
    <s v="the_greek_xl"/>
    <s v="Brianna Lee"/>
    <n v="1"/>
    <x v="68"/>
    <x v="110"/>
    <n v="25.5"/>
    <n v="25.5"/>
    <x v="2"/>
    <x v="0"/>
    <s v="Kalamata Olives, Feta Cheese, Tomatoes, Garlic, Beef Chuck Roast, Red Onions"/>
    <x v="4"/>
  </r>
  <r>
    <n v="113"/>
    <s v="ckn_alfredo_l"/>
    <s v="Brandon Harris"/>
    <n v="1"/>
    <x v="69"/>
    <x v="111"/>
    <n v="20.75"/>
    <n v="20.75"/>
    <x v="1"/>
    <x v="1"/>
    <s v="Chicken, Red Onions, Red Peppers, Mushrooms, Asiago Cheese, Alfredo Sauce"/>
    <x v="20"/>
  </r>
  <r>
    <n v="114"/>
    <s v="bbq_ckn_l"/>
    <s v="Christopher Turner"/>
    <n v="2"/>
    <x v="70"/>
    <x v="112"/>
    <n v="20.75"/>
    <n v="41.5"/>
    <x v="1"/>
    <x v="1"/>
    <s v="Barbecued Chicken, Red Peppers, Green Peppers, Tomatoes, Red Onions, Barbecue Sauce"/>
    <x v="13"/>
  </r>
  <r>
    <n v="115"/>
    <s v="thai_ckn_l"/>
    <s v="Justin Campbell"/>
    <n v="1"/>
    <x v="70"/>
    <x v="113"/>
    <n v="20.75"/>
    <n v="20.75"/>
    <x v="1"/>
    <x v="1"/>
    <s v="Chicken, Pineapple, Tomatoes, Red Peppers, Thai Sweet Chilli Sauce"/>
    <x v="17"/>
  </r>
  <r>
    <n v="116"/>
    <s v="bbq_ckn_m"/>
    <s v="Dylan Carter"/>
    <n v="1"/>
    <x v="71"/>
    <x v="114"/>
    <n v="16.75"/>
    <n v="16.75"/>
    <x v="0"/>
    <x v="1"/>
    <s v="Barbecued Chicken, Red Peppers, Green Peppers, Tomatoes, Red Onions, Barbecue Sauce"/>
    <x v="13"/>
  </r>
  <r>
    <n v="117"/>
    <s v="four_cheese_l"/>
    <s v="John Campbell"/>
    <n v="1"/>
    <x v="71"/>
    <x v="115"/>
    <n v="17.95"/>
    <n v="17.95"/>
    <x v="1"/>
    <x v="2"/>
    <s v="Ricotta Cheese, Gorgonzola Piccante Cheese, Mozzarella Cheese, Parmigiano Reggiano Cheese, Garlic"/>
    <x v="9"/>
  </r>
  <r>
    <n v="118"/>
    <s v="pepperoni_s"/>
    <s v="Daniel Scott"/>
    <n v="1"/>
    <x v="71"/>
    <x v="116"/>
    <n v="9.75"/>
    <n v="9.75"/>
    <x v="3"/>
    <x v="0"/>
    <s v="Mozzarella Cheese, Pepperoni"/>
    <x v="5"/>
  </r>
  <r>
    <n v="119"/>
    <s v="spicy_ital_l"/>
    <s v="Lauren Brown"/>
    <n v="1"/>
    <x v="72"/>
    <x v="117"/>
    <n v="20.75"/>
    <n v="20.75"/>
    <x v="1"/>
    <x v="3"/>
    <s v="Capocollo, Tomatoes, Goat Cheese, Artichokes, Peperoncini verdi, Garlic"/>
    <x v="10"/>
  </r>
  <r>
    <n v="120"/>
    <s v="five_cheese_l"/>
    <s v="Kayla Phillips"/>
    <n v="1"/>
    <x v="72"/>
    <x v="118"/>
    <n v="18.5"/>
    <n v="18.5"/>
    <x v="1"/>
    <x v="2"/>
    <s v="Mozzarella Cheese, Provolone Cheese, Smoked Gouda Cheese, Romano Cheese, Blue Cheese, Garlic"/>
    <x v="2"/>
  </r>
  <r>
    <n v="121"/>
    <s v="ital_cpcllo_m"/>
    <s v="Hannah Miller"/>
    <n v="1"/>
    <x v="72"/>
    <x v="119"/>
    <n v="16"/>
    <n v="16"/>
    <x v="0"/>
    <x v="0"/>
    <s v="Capocollo, Red Peppers, Tomatoes, Goat Cheese, Garlic, Oregano"/>
    <x v="25"/>
  </r>
  <r>
    <n v="122"/>
    <s v="cali_ckn_m"/>
    <s v="Emily Brown"/>
    <n v="1"/>
    <x v="73"/>
    <x v="120"/>
    <n v="16.75"/>
    <n v="16.75"/>
    <x v="0"/>
    <x v="1"/>
    <s v="Chicken, Artichoke, Spinach, Garlic, Jalapeno Peppers, Fontina Cheese, Gouda Cheese"/>
    <x v="1"/>
  </r>
  <r>
    <n v="123"/>
    <s v="ital_supr_m"/>
    <s v="Elizabeth Roberts"/>
    <n v="1"/>
    <x v="74"/>
    <x v="121"/>
    <n v="16.5"/>
    <n v="16.5"/>
    <x v="0"/>
    <x v="3"/>
    <s v="Calabrese Salami, Capocollo, Tomatoes, Red Onions, Green Olives, Garlic"/>
    <x v="7"/>
  </r>
  <r>
    <n v="124"/>
    <s v="sicilian_m"/>
    <s v="Madison Evans"/>
    <n v="1"/>
    <x v="75"/>
    <x v="122"/>
    <n v="16.25"/>
    <n v="16.25"/>
    <x v="0"/>
    <x v="3"/>
    <s v="Coarse Sicilian Salami, Tomatoes, Green Olives, Luganega Sausage, Onions, Garlic"/>
    <x v="12"/>
  </r>
  <r>
    <n v="125"/>
    <s v="veggie_veg_l"/>
    <s v="Noah Scott"/>
    <n v="1"/>
    <x v="75"/>
    <x v="123"/>
    <n v="20.25"/>
    <n v="20.25"/>
    <x v="1"/>
    <x v="2"/>
    <s v="Mushrooms, Tomatoes, Red Peppers, Green Peppers, Red Onions, Zucchini, Spinach, Garlic"/>
    <x v="19"/>
  </r>
  <r>
    <n v="126"/>
    <s v="thai_ckn_l"/>
    <s v="John Hill"/>
    <n v="1"/>
    <x v="76"/>
    <x v="124"/>
    <n v="20.75"/>
    <n v="20.75"/>
    <x v="1"/>
    <x v="1"/>
    <s v="Chicken, Pineapple, Tomatoes, Red Peppers, Thai Sweet Chilli Sauce"/>
    <x v="17"/>
  </r>
  <r>
    <n v="127"/>
    <s v="ital_veggie_m"/>
    <s v="Michael Collins"/>
    <n v="1"/>
    <x v="76"/>
    <x v="125"/>
    <n v="16.75"/>
    <n v="16.75"/>
    <x v="0"/>
    <x v="2"/>
    <s v="Eggplant, Artichokes, Tomatoes, Zucchini, Red Peppers, Garlic, Pesto Sauce"/>
    <x v="11"/>
  </r>
  <r>
    <n v="128"/>
    <s v="calabrese_m"/>
    <s v="James Wright"/>
    <n v="1"/>
    <x v="77"/>
    <x v="126"/>
    <n v="16.25"/>
    <n v="16.25"/>
    <x v="0"/>
    <x v="3"/>
    <s v="慛duja Salami, Pancetta, Tomatoes, Red Onions, Friggitello Peppers, Garlic"/>
    <x v="22"/>
  </r>
  <r>
    <n v="129"/>
    <s v="spinach_fet_s"/>
    <s v="Joseph Jones"/>
    <n v="1"/>
    <x v="78"/>
    <x v="127"/>
    <n v="12"/>
    <n v="12"/>
    <x v="3"/>
    <x v="2"/>
    <s v="Spinach, Mushrooms, Red Onions, Feta Cheese, Garlic"/>
    <x v="28"/>
  </r>
  <r>
    <n v="130"/>
    <s v="southw_ckn_l"/>
    <s v="Brianna Lopez"/>
    <n v="1"/>
    <x v="79"/>
    <x v="128"/>
    <n v="20.75"/>
    <n v="20.75"/>
    <x v="1"/>
    <x v="1"/>
    <s v="Chicken, Tomatoes, Red Peppers, Red Onions, Jalapeno Peppers, Corn, Cilantro, Chipotle Sauce"/>
    <x v="15"/>
  </r>
  <r>
    <n v="131"/>
    <s v="big_meat_s"/>
    <s v="Emily Young"/>
    <n v="4"/>
    <x v="79"/>
    <x v="129"/>
    <n v="12"/>
    <n v="48"/>
    <x v="3"/>
    <x v="0"/>
    <s v="Bacon, Pepperoni, Italian Sausage, Chorizo Sausage"/>
    <x v="24"/>
  </r>
  <r>
    <n v="132"/>
    <s v="pepperoni_m"/>
    <s v="Christopher Martinez"/>
    <n v="1"/>
    <x v="80"/>
    <x v="130"/>
    <n v="12.5"/>
    <n v="12.5"/>
    <x v="0"/>
    <x v="0"/>
    <s v="Mozzarella Cheese, Pepperoni"/>
    <x v="5"/>
  </r>
  <r>
    <n v="133"/>
    <s v="hawaiian_s"/>
    <s v="Sophia Perez"/>
    <n v="1"/>
    <x v="80"/>
    <x v="131"/>
    <n v="10.5"/>
    <n v="10.5"/>
    <x v="3"/>
    <x v="0"/>
    <s v="Sliced Ham, Pineapple, Mozzarella Cheese"/>
    <x v="18"/>
  </r>
  <r>
    <n v="134"/>
    <s v="big_meat_s"/>
    <s v="Anthony Nelson"/>
    <n v="1"/>
    <x v="81"/>
    <x v="132"/>
    <n v="12"/>
    <n v="12"/>
    <x v="3"/>
    <x v="0"/>
    <s v="Bacon, Pepperoni, Italian Sausage, Chorizo Sausage"/>
    <x v="24"/>
  </r>
  <r>
    <n v="135"/>
    <s v="pepperoni_s"/>
    <s v="Courtney Baker"/>
    <n v="1"/>
    <x v="82"/>
    <x v="133"/>
    <n v="9.75"/>
    <n v="9.75"/>
    <x v="3"/>
    <x v="0"/>
    <s v="Mozzarella Cheese, Pepperoni"/>
    <x v="5"/>
  </r>
  <r>
    <n v="136"/>
    <s v="soppressata_l"/>
    <s v="Jacob Gonzalez"/>
    <n v="1"/>
    <x v="82"/>
    <x v="134"/>
    <n v="20.75"/>
    <n v="20.75"/>
    <x v="1"/>
    <x v="3"/>
    <s v="Soppressata Salami, Fontina Cheese, Mozzarella Cheese, Mushrooms, Garlic"/>
    <x v="3"/>
  </r>
  <r>
    <n v="137"/>
    <s v="napolitana_m"/>
    <s v="Ryan Phillips"/>
    <n v="1"/>
    <x v="83"/>
    <x v="135"/>
    <n v="16"/>
    <n v="16"/>
    <x v="0"/>
    <x v="0"/>
    <s v="Tomatoes, Anchovies, Green Olives, Red Onions, Garlic"/>
    <x v="26"/>
  </r>
  <r>
    <n v="138"/>
    <s v="bbq_ckn_l"/>
    <s v="Sophia Sanchez"/>
    <n v="1"/>
    <x v="83"/>
    <x v="136"/>
    <n v="20.75"/>
    <n v="20.75"/>
    <x v="1"/>
    <x v="1"/>
    <s v="Barbecued Chicken, Red Peppers, Green Peppers, Tomatoes, Red Onions, Barbecue Sauce"/>
    <x v="13"/>
  </r>
  <r>
    <n v="139"/>
    <s v="classic_dlx_s"/>
    <s v="Ryan Miller"/>
    <n v="1"/>
    <x v="83"/>
    <x v="137"/>
    <n v="12"/>
    <n v="12"/>
    <x v="3"/>
    <x v="0"/>
    <s v="Pepperoni, Mushrooms, Red Onions, Red Peppers, Bacon"/>
    <x v="0"/>
  </r>
  <r>
    <n v="140"/>
    <s v="four_cheese_l"/>
    <s v="Noah Lee"/>
    <n v="1"/>
    <x v="84"/>
    <x v="138"/>
    <n v="17.95"/>
    <n v="17.95"/>
    <x v="1"/>
    <x v="2"/>
    <s v="Ricotta Cheese, Gorgonzola Piccante Cheese, Mozzarella Cheese, Parmigiano Reggiano Cheese, Garlic"/>
    <x v="9"/>
  </r>
  <r>
    <n v="141"/>
    <s v="cali_ckn_m"/>
    <s v="Sarah Thompson"/>
    <n v="1"/>
    <x v="84"/>
    <x v="139"/>
    <n v="16.75"/>
    <n v="16.75"/>
    <x v="0"/>
    <x v="1"/>
    <s v="Chicken, Artichoke, Spinach, Garlic, Jalapeno Peppers, Fontina Cheese, Gouda Cheese"/>
    <x v="1"/>
  </r>
  <r>
    <n v="142"/>
    <s v="mediterraneo_s"/>
    <s v="Olivia King"/>
    <n v="1"/>
    <x v="84"/>
    <x v="140"/>
    <n v="12"/>
    <n v="12"/>
    <x v="3"/>
    <x v="2"/>
    <s v="Spinach, Artichokes, Kalamata Olives, Sun-dried Tomatoes, Feta Cheese, Plum Tomatoes, Red Onions"/>
    <x v="16"/>
  </r>
  <r>
    <n v="143"/>
    <s v="mexicana_m"/>
    <s v="William Ramirez"/>
    <n v="1"/>
    <x v="84"/>
    <x v="141"/>
    <n v="16"/>
    <n v="16"/>
    <x v="0"/>
    <x v="2"/>
    <s v="Tomatoes, Red Peppers, Jalapeno Peppers, Red Onions, Cilantro, Corn, Chipotle Sauce, Garlic"/>
    <x v="8"/>
  </r>
  <r>
    <n v="144"/>
    <s v="prsc_argla_l"/>
    <s v="Joseph Lee"/>
    <n v="1"/>
    <x v="84"/>
    <x v="141"/>
    <n v="20.75"/>
    <n v="20.75"/>
    <x v="1"/>
    <x v="3"/>
    <s v="Prosciutto di San Daniele, Arugula, Mozzarella Cheese"/>
    <x v="6"/>
  </r>
  <r>
    <n v="145"/>
    <s v="pepperoni_s"/>
    <s v="Ethan Williams"/>
    <n v="1"/>
    <x v="84"/>
    <x v="142"/>
    <n v="9.75"/>
    <n v="9.75"/>
    <x v="3"/>
    <x v="0"/>
    <s v="Mozzarella Cheese, Pepperoni"/>
    <x v="5"/>
  </r>
  <r>
    <n v="146"/>
    <s v="four_cheese_l"/>
    <s v="Andrew Jackson"/>
    <n v="1"/>
    <x v="84"/>
    <x v="143"/>
    <n v="17.95"/>
    <n v="17.95"/>
    <x v="1"/>
    <x v="2"/>
    <s v="Ricotta Cheese, Gorgonzola Piccante Cheese, Mozzarella Cheese, Parmigiano Reggiano Cheese, Garlic"/>
    <x v="9"/>
  </r>
  <r>
    <n v="147"/>
    <s v="the_greek_xl"/>
    <s v="Noah Scott"/>
    <n v="1"/>
    <x v="85"/>
    <x v="144"/>
    <n v="25.5"/>
    <n v="25.5"/>
    <x v="2"/>
    <x v="0"/>
    <s v="Kalamata Olives, Feta Cheese, Tomatoes, Garlic, Beef Chuck Roast, Red Onions"/>
    <x v="4"/>
  </r>
  <r>
    <n v="148"/>
    <s v="five_cheese_l"/>
    <s v="Brittany King"/>
    <n v="1"/>
    <x v="85"/>
    <x v="145"/>
    <n v="18.5"/>
    <n v="18.5"/>
    <x v="1"/>
    <x v="2"/>
    <s v="Mozzarella Cheese, Provolone Cheese, Smoked Gouda Cheese, Romano Cheese, Blue Cheese, Garlic"/>
    <x v="2"/>
  </r>
  <r>
    <n v="149"/>
    <s v="southw_ckn_s"/>
    <s v="Rachel Hill"/>
    <n v="1"/>
    <x v="85"/>
    <x v="146"/>
    <n v="12.75"/>
    <n v="12.75"/>
    <x v="3"/>
    <x v="1"/>
    <s v="Chicken, Tomatoes, Red Peppers, Red Onions, Jalapeno Peppers, Corn, Cilantro, Chipotle Sauce"/>
    <x v="15"/>
  </r>
  <r>
    <n v="150"/>
    <s v="ital_supr_l"/>
    <s v="Amanda Green"/>
    <n v="1"/>
    <x v="86"/>
    <x v="147"/>
    <n v="20.75"/>
    <n v="20.75"/>
    <x v="1"/>
    <x v="3"/>
    <s v="Calabrese Salami, Capocollo, Tomatoes, Red Onions, Green Olives, Garlic"/>
    <x v="7"/>
  </r>
  <r>
    <n v="151"/>
    <s v="hawaiian_l"/>
    <s v="Rachel Johnson"/>
    <n v="1"/>
    <x v="86"/>
    <x v="148"/>
    <n v="16.5"/>
    <n v="16.5"/>
    <x v="1"/>
    <x v="0"/>
    <s v="Sliced Ham, Pineapple, Mozzarella Cheese"/>
    <x v="18"/>
  </r>
  <r>
    <n v="152"/>
    <s v="cali_ckn_s"/>
    <s v="Victoria Roberts"/>
    <n v="1"/>
    <x v="87"/>
    <x v="149"/>
    <n v="12.75"/>
    <n v="12.75"/>
    <x v="3"/>
    <x v="1"/>
    <s v="Chicken, Artichoke, Spinach, Garlic, Jalapeno Peppers, Fontina Cheese, Gouda Cheese"/>
    <x v="1"/>
  </r>
  <r>
    <n v="153"/>
    <s v="classic_dlx_m"/>
    <s v="Justin Nelson"/>
    <n v="1"/>
    <x v="87"/>
    <x v="150"/>
    <n v="16"/>
    <n v="16"/>
    <x v="0"/>
    <x v="0"/>
    <s v="Pepperoni, Mushrooms, Red Onions, Red Peppers, Bacon"/>
    <x v="0"/>
  </r>
  <r>
    <n v="154"/>
    <s v="mexicana_l"/>
    <s v="Ashley Nelson"/>
    <n v="1"/>
    <x v="87"/>
    <x v="151"/>
    <n v="20.25"/>
    <n v="20.25"/>
    <x v="1"/>
    <x v="2"/>
    <s v="Tomatoes, Red Peppers, Jalapeno Peppers, Red Onions, Cilantro, Corn, Chipotle Sauce, Garlic"/>
    <x v="8"/>
  </r>
  <r>
    <n v="155"/>
    <s v="soppressata_m"/>
    <s v="Christopher Jackson"/>
    <n v="1"/>
    <x v="88"/>
    <x v="152"/>
    <n v="16.5"/>
    <n v="16.5"/>
    <x v="0"/>
    <x v="3"/>
    <s v="Soppressata Salami, Fontina Cheese, Mozzarella Cheese, Mushrooms, Garlic"/>
    <x v="3"/>
  </r>
  <r>
    <n v="156"/>
    <s v="ckn_pesto_l"/>
    <s v="Joseph Evans"/>
    <n v="1"/>
    <x v="88"/>
    <x v="153"/>
    <n v="20.75"/>
    <n v="20.75"/>
    <x v="1"/>
    <x v="1"/>
    <s v="Chicken, Tomatoes, Red Peppers, Spinach, Garlic, Pesto Sauce"/>
    <x v="21"/>
  </r>
  <r>
    <n v="157"/>
    <s v="mediterraneo_m"/>
    <s v="Hannah Phillips"/>
    <n v="1"/>
    <x v="88"/>
    <x v="154"/>
    <n v="16"/>
    <n v="16"/>
    <x v="0"/>
    <x v="2"/>
    <s v="Spinach, Artichokes, Kalamata Olives, Sun-dried Tomatoes, Feta Cheese, Plum Tomatoes, Red Onions"/>
    <x v="16"/>
  </r>
  <r>
    <n v="158"/>
    <s v="ckn_pesto_l"/>
    <s v="Dylan Robinson"/>
    <n v="1"/>
    <x v="88"/>
    <x v="155"/>
    <n v="20.75"/>
    <n v="20.75"/>
    <x v="1"/>
    <x v="1"/>
    <s v="Chicken, Tomatoes, Red Peppers, Spinach, Garlic, Pesto Sauce"/>
    <x v="21"/>
  </r>
  <r>
    <n v="159"/>
    <s v="veggie_veg_l"/>
    <s v="Lauren King"/>
    <n v="1"/>
    <x v="89"/>
    <x v="156"/>
    <n v="20.25"/>
    <n v="20.25"/>
    <x v="1"/>
    <x v="2"/>
    <s v="Mushrooms, Tomatoes, Red Peppers, Green Peppers, Red Onions, Zucchini, Spinach, Garlic"/>
    <x v="19"/>
  </r>
  <r>
    <n v="160"/>
    <s v="four_cheese_l"/>
    <s v="James Sanchez"/>
    <n v="1"/>
    <x v="90"/>
    <x v="157"/>
    <n v="17.95"/>
    <n v="17.95"/>
    <x v="1"/>
    <x v="2"/>
    <s v="Ricotta Cheese, Gorgonzola Piccante Cheese, Mozzarella Cheese, Parmigiano Reggiano Cheese, Garlic"/>
    <x v="9"/>
  </r>
  <r>
    <n v="161"/>
    <s v="mexicana_l"/>
    <s v="Megan Thomas"/>
    <n v="1"/>
    <x v="91"/>
    <x v="158"/>
    <n v="20.25"/>
    <n v="20.25"/>
    <x v="1"/>
    <x v="2"/>
    <s v="Tomatoes, Red Peppers, Jalapeno Peppers, Red Onions, Cilantro, Corn, Chipotle Sauce, Garlic"/>
    <x v="8"/>
  </r>
  <r>
    <n v="162"/>
    <s v="thai_ckn_l"/>
    <s v="Rachel Evans"/>
    <n v="1"/>
    <x v="92"/>
    <x v="159"/>
    <n v="20.75"/>
    <n v="20.75"/>
    <x v="1"/>
    <x v="1"/>
    <s v="Chicken, Pineapple, Tomatoes, Red Peppers, Thai Sweet Chilli Sauce"/>
    <x v="17"/>
  </r>
  <r>
    <n v="163"/>
    <s v="ital_cpcllo_l"/>
    <s v="Alexis Davis"/>
    <n v="1"/>
    <x v="93"/>
    <x v="160"/>
    <n v="20.5"/>
    <n v="20.5"/>
    <x v="1"/>
    <x v="0"/>
    <s v="Capocollo, Red Peppers, Tomatoes, Goat Cheese, Garlic, Oregano"/>
    <x v="25"/>
  </r>
  <r>
    <n v="164"/>
    <s v="green_garden_s"/>
    <s v="Zachary Garcia"/>
    <n v="1"/>
    <x v="93"/>
    <x v="161"/>
    <n v="12"/>
    <n v="12"/>
    <x v="3"/>
    <x v="2"/>
    <s v="Spinach, Mushrooms, Tomatoes, Green Olives, Feta Cheese"/>
    <x v="27"/>
  </r>
  <r>
    <n v="165"/>
    <s v="mediterraneo_s"/>
    <s v="Joseph Garcia"/>
    <n v="1"/>
    <x v="93"/>
    <x v="162"/>
    <n v="12"/>
    <n v="12"/>
    <x v="3"/>
    <x v="2"/>
    <s v="Spinach, Artichokes, Kalamata Olives, Sun-dried Tomatoes, Feta Cheese, Plum Tomatoes, Red Onions"/>
    <x v="16"/>
  </r>
  <r>
    <n v="166"/>
    <s v="spinach_fet_l"/>
    <s v="Emily Parker"/>
    <n v="1"/>
    <x v="94"/>
    <x v="163"/>
    <n v="20.25"/>
    <n v="20.25"/>
    <x v="1"/>
    <x v="2"/>
    <s v="Spinach, Mushrooms, Red Onions, Feta Cheese, Garlic"/>
    <x v="28"/>
  </r>
  <r>
    <n v="167"/>
    <s v="napolitana_m"/>
    <s v="James Roberts"/>
    <n v="1"/>
    <x v="95"/>
    <x v="164"/>
    <n v="16"/>
    <n v="16"/>
    <x v="0"/>
    <x v="0"/>
    <s v="Tomatoes, Anchovies, Green Olives, Red Onions, Garlic"/>
    <x v="26"/>
  </r>
  <r>
    <n v="168"/>
    <s v="classic_dlx_m"/>
    <s v="Ryan Thomas"/>
    <n v="1"/>
    <x v="95"/>
    <x v="165"/>
    <n v="16"/>
    <n v="16"/>
    <x v="0"/>
    <x v="0"/>
    <s v="Pepperoni, Mushrooms, Red Onions, Red Peppers, Bacon"/>
    <x v="0"/>
  </r>
  <r>
    <n v="169"/>
    <s v="mediterraneo_l"/>
    <s v="Alexis Harris"/>
    <n v="1"/>
    <x v="96"/>
    <x v="166"/>
    <n v="20.25"/>
    <n v="20.25"/>
    <x v="1"/>
    <x v="2"/>
    <s v="Spinach, Artichokes, Kalamata Olives, Sun-dried Tomatoes, Feta Cheese, Plum Tomatoes, Red Onions"/>
    <x v="16"/>
  </r>
  <r>
    <n v="170"/>
    <s v="spin_pesto_s"/>
    <s v="Taylor Gonzalez"/>
    <n v="1"/>
    <x v="96"/>
    <x v="167"/>
    <n v="12.5"/>
    <n v="12.5"/>
    <x v="3"/>
    <x v="2"/>
    <s v="Spinach, Artichokes, Tomatoes, Sun-dried Tomatoes, Garlic, Pesto Sauce"/>
    <x v="23"/>
  </r>
  <r>
    <n v="171"/>
    <s v="southw_ckn_l"/>
    <s v="Megan Robinson"/>
    <n v="1"/>
    <x v="97"/>
    <x v="168"/>
    <n v="20.75"/>
    <n v="20.75"/>
    <x v="1"/>
    <x v="1"/>
    <s v="Chicken, Tomatoes, Red Peppers, Red Onions, Jalapeno Peppers, Corn, Cilantro, Chipotle Sauce"/>
    <x v="15"/>
  </r>
  <r>
    <n v="172"/>
    <s v="southw_ckn_l"/>
    <s v="Nicholas Roberts"/>
    <n v="1"/>
    <x v="97"/>
    <x v="169"/>
    <n v="20.75"/>
    <n v="20.75"/>
    <x v="1"/>
    <x v="1"/>
    <s v="Chicken, Tomatoes, Red Peppers, Red Onions, Jalapeno Peppers, Corn, Cilantro, Chipotle Sauce"/>
    <x v="15"/>
  </r>
  <r>
    <n v="173"/>
    <s v="the_greek_xl"/>
    <s v="Jessica White"/>
    <n v="1"/>
    <x v="97"/>
    <x v="170"/>
    <n v="25.5"/>
    <n v="25.5"/>
    <x v="2"/>
    <x v="0"/>
    <s v="Kalamata Olives, Feta Cheese, Tomatoes, Garlic, Beef Chuck Roast, Red Onions"/>
    <x v="4"/>
  </r>
  <r>
    <n v="174"/>
    <s v="sicilian_s"/>
    <s v="Stephanie Lee"/>
    <n v="1"/>
    <x v="98"/>
    <x v="171"/>
    <n v="12.25"/>
    <n v="12.25"/>
    <x v="3"/>
    <x v="3"/>
    <s v="Coarse Sicilian Salami, Tomatoes, Green Olives, Luganega Sausage, Onions, Garlic"/>
    <x v="12"/>
  </r>
  <r>
    <n v="175"/>
    <s v="thai_ckn_m"/>
    <s v="Ryan Hill"/>
    <n v="1"/>
    <x v="98"/>
    <x v="172"/>
    <n v="16.75"/>
    <n v="16.75"/>
    <x v="0"/>
    <x v="1"/>
    <s v="Chicken, Pineapple, Tomatoes, Red Peppers, Thai Sweet Chilli Sauce"/>
    <x v="17"/>
  </r>
  <r>
    <n v="176"/>
    <s v="peppr_salami_m"/>
    <s v="Ashley Wright"/>
    <n v="1"/>
    <x v="99"/>
    <x v="173"/>
    <n v="16.5"/>
    <n v="16.5"/>
    <x v="0"/>
    <x v="3"/>
    <s v="Genoa Salami, Capocollo, Pepperoni, Tomatoes, Asiago Cheese, Garlic"/>
    <x v="14"/>
  </r>
  <r>
    <n v="177"/>
    <s v="big_meat_s"/>
    <s v="Ryan Clark"/>
    <n v="1"/>
    <x v="100"/>
    <x v="174"/>
    <n v="12"/>
    <n v="12"/>
    <x v="3"/>
    <x v="0"/>
    <s v="Bacon, Pepperoni, Italian Sausage, Chorizo Sausage"/>
    <x v="24"/>
  </r>
  <r>
    <n v="178"/>
    <s v="big_meat_s"/>
    <s v="Brittany Wright"/>
    <n v="1"/>
    <x v="100"/>
    <x v="175"/>
    <n v="12"/>
    <n v="12"/>
    <x v="3"/>
    <x v="0"/>
    <s v="Bacon, Pepperoni, Italian Sausage, Chorizo Sausage"/>
    <x v="24"/>
  </r>
  <r>
    <n v="179"/>
    <s v="calabrese_m"/>
    <s v="Jennifer Harris"/>
    <n v="1"/>
    <x v="100"/>
    <x v="176"/>
    <n v="16.25"/>
    <n v="16.25"/>
    <x v="0"/>
    <x v="3"/>
    <s v="慛duja Salami, Pancetta, Tomatoes, Red Onions, Friggitello Peppers, Garlic"/>
    <x v="22"/>
  </r>
  <r>
    <n v="180"/>
    <s v="big_meat_s"/>
    <s v="Madison Hill"/>
    <n v="1"/>
    <x v="101"/>
    <x v="177"/>
    <n v="12"/>
    <n v="12"/>
    <x v="3"/>
    <x v="0"/>
    <s v="Bacon, Pepperoni, Italian Sausage, Chorizo Sausage"/>
    <x v="24"/>
  </r>
  <r>
    <n v="181"/>
    <s v="spin_pesto_m"/>
    <s v="Elizabeth Collins"/>
    <n v="1"/>
    <x v="102"/>
    <x v="178"/>
    <n v="16.5"/>
    <n v="16.5"/>
    <x v="0"/>
    <x v="2"/>
    <s v="Spinach, Artichokes, Tomatoes, Sun-dried Tomatoes, Garlic, Pesto Sauce"/>
    <x v="23"/>
  </r>
  <r>
    <n v="182"/>
    <s v="ckn_pesto_m"/>
    <s v="Noah Ramirez"/>
    <n v="1"/>
    <x v="103"/>
    <x v="179"/>
    <n v="16.75"/>
    <n v="16.75"/>
    <x v="0"/>
    <x v="1"/>
    <s v="Chicken, Tomatoes, Red Peppers, Spinach, Garlic, Pesto Sauce"/>
    <x v="21"/>
  </r>
  <r>
    <n v="183"/>
    <s v="napolitana_s"/>
    <s v="Megan Mitchell"/>
    <n v="1"/>
    <x v="103"/>
    <x v="179"/>
    <n v="12"/>
    <n v="12"/>
    <x v="3"/>
    <x v="0"/>
    <s v="Tomatoes, Anchovies, Green Olives, Red Onions, Garlic"/>
    <x v="26"/>
  </r>
  <r>
    <n v="184"/>
    <s v="soppressata_s"/>
    <s v="Logan Moore"/>
    <n v="1"/>
    <x v="103"/>
    <x v="179"/>
    <n v="12.5"/>
    <n v="12.5"/>
    <x v="3"/>
    <x v="3"/>
    <s v="Soppressata Salami, Fontina Cheese, Mozzarella Cheese, Mushrooms, Garlic"/>
    <x v="3"/>
  </r>
  <r>
    <n v="185"/>
    <s v="spinach_supr_l"/>
    <s v="Emily Harris"/>
    <n v="1"/>
    <x v="103"/>
    <x v="180"/>
    <n v="20.75"/>
    <n v="20.75"/>
    <x v="1"/>
    <x v="3"/>
    <s v="Spinach, Red Onions, Pepperoni, Tomatoes, Artichokes, Kalamata Olives, Garlic, Asiago Cheese"/>
    <x v="29"/>
  </r>
  <r>
    <n v="186"/>
    <s v="veggie_veg_s"/>
    <s v="Jessica Martin"/>
    <n v="1"/>
    <x v="104"/>
    <x v="181"/>
    <n v="12"/>
    <n v="12"/>
    <x v="3"/>
    <x v="2"/>
    <s v="Mushrooms, Tomatoes, Red Peppers, Green Peppers, Red Onions, Zucchini, Spinach, Garlic"/>
    <x v="19"/>
  </r>
  <r>
    <n v="187"/>
    <s v="ckn_pesto_l"/>
    <s v="Sarah Anderson"/>
    <n v="1"/>
    <x v="104"/>
    <x v="182"/>
    <n v="20.75"/>
    <n v="20.75"/>
    <x v="1"/>
    <x v="1"/>
    <s v="Chicken, Tomatoes, Red Peppers, Spinach, Garlic, Pesto Sauce"/>
    <x v="21"/>
  </r>
  <r>
    <n v="188"/>
    <s v="ital_veggie_m"/>
    <s v="Joshua Moore"/>
    <n v="1"/>
    <x v="104"/>
    <x v="183"/>
    <n v="16.75"/>
    <n v="16.75"/>
    <x v="0"/>
    <x v="2"/>
    <s v="Eggplant, Artichokes, Tomatoes, Zucchini, Red Peppers, Garlic, Pesto Sauce"/>
    <x v="11"/>
  </r>
  <r>
    <n v="189"/>
    <s v="big_meat_s"/>
    <s v="Brianna Thomas"/>
    <n v="1"/>
    <x v="104"/>
    <x v="155"/>
    <n v="12"/>
    <n v="12"/>
    <x v="3"/>
    <x v="0"/>
    <s v="Bacon, Pepperoni, Italian Sausage, Chorizo Sausage"/>
    <x v="24"/>
  </r>
  <r>
    <n v="190"/>
    <s v="thai_ckn_l"/>
    <s v="Brianna Evans"/>
    <n v="1"/>
    <x v="105"/>
    <x v="184"/>
    <n v="20.75"/>
    <n v="20.75"/>
    <x v="1"/>
    <x v="1"/>
    <s v="Chicken, Pineapple, Tomatoes, Red Peppers, Thai Sweet Chilli Sauce"/>
    <x v="17"/>
  </r>
  <r>
    <n v="191"/>
    <s v="four_cheese_l"/>
    <s v="Tyler Young"/>
    <n v="1"/>
    <x v="105"/>
    <x v="185"/>
    <n v="17.95"/>
    <n v="17.95"/>
    <x v="1"/>
    <x v="2"/>
    <s v="Ricotta Cheese, Gorgonzola Piccante Cheese, Mozzarella Cheese, Parmigiano Reggiano Cheese, Garlic"/>
    <x v="9"/>
  </r>
  <r>
    <n v="192"/>
    <s v="cali_ckn_m"/>
    <s v="Stephanie Johnson"/>
    <n v="1"/>
    <x v="105"/>
    <x v="186"/>
    <n v="16.75"/>
    <n v="16.75"/>
    <x v="0"/>
    <x v="1"/>
    <s v="Chicken, Artichoke, Spinach, Garlic, Jalapeno Peppers, Fontina Cheese, Gouda Cheese"/>
    <x v="1"/>
  </r>
  <r>
    <n v="193"/>
    <s v="ital_cpcllo_l"/>
    <s v="Daniel Lewis"/>
    <n v="1"/>
    <x v="105"/>
    <x v="187"/>
    <n v="20.5"/>
    <n v="20.5"/>
    <x v="1"/>
    <x v="0"/>
    <s v="Capocollo, Red Peppers, Tomatoes, Goat Cheese, Garlic, Oregano"/>
    <x v="25"/>
  </r>
  <r>
    <n v="194"/>
    <s v="pepperoni_m"/>
    <s v="Elizabeth Parker"/>
    <n v="1"/>
    <x v="106"/>
    <x v="188"/>
    <n v="12.5"/>
    <n v="12.5"/>
    <x v="0"/>
    <x v="0"/>
    <s v="Mozzarella Cheese, Pepperoni"/>
    <x v="5"/>
  </r>
  <r>
    <n v="195"/>
    <s v="ital_supr_l"/>
    <s v="Dylan Parker"/>
    <n v="1"/>
    <x v="107"/>
    <x v="189"/>
    <n v="20.75"/>
    <n v="20.75"/>
    <x v="1"/>
    <x v="3"/>
    <s v="Calabrese Salami, Capocollo, Tomatoes, Red Onions, Green Olives, Garlic"/>
    <x v="7"/>
  </r>
  <r>
    <n v="196"/>
    <s v="hawaiian_s"/>
    <s v="Ethan Anderson"/>
    <n v="1"/>
    <x v="107"/>
    <x v="190"/>
    <n v="10.5"/>
    <n v="10.5"/>
    <x v="3"/>
    <x v="0"/>
    <s v="Sliced Ham, Pineapple, Mozzarella Cheese"/>
    <x v="18"/>
  </r>
  <r>
    <n v="197"/>
    <s v="thai_ckn_l"/>
    <s v="Anthony Jones"/>
    <n v="1"/>
    <x v="108"/>
    <x v="191"/>
    <n v="20.75"/>
    <n v="20.75"/>
    <x v="1"/>
    <x v="1"/>
    <s v="Chicken, Pineapple, Tomatoes, Red Peppers, Thai Sweet Chilli Sauce"/>
    <x v="17"/>
  </r>
  <r>
    <n v="198"/>
    <s v="spin_pesto_l"/>
    <s v="Joseph Smith"/>
    <n v="1"/>
    <x v="108"/>
    <x v="192"/>
    <n v="20.75"/>
    <n v="20.75"/>
    <x v="1"/>
    <x v="2"/>
    <s v="Spinach, Artichokes, Tomatoes, Sun-dried Tomatoes, Garlic, Pesto Sauce"/>
    <x v="23"/>
  </r>
  <r>
    <n v="199"/>
    <s v="four_cheese_l"/>
    <s v="Tyler Martin"/>
    <n v="1"/>
    <x v="109"/>
    <x v="193"/>
    <n v="17.95"/>
    <n v="17.95"/>
    <x v="1"/>
    <x v="2"/>
    <s v="Ricotta Cheese, Gorgonzola Piccante Cheese, Mozzarella Cheese, Parmigiano Reggiano Cheese, Garlic"/>
    <x v="9"/>
  </r>
  <r>
    <n v="200"/>
    <s v="prsc_argla_l"/>
    <s v="Joseph Baker"/>
    <n v="1"/>
    <x v="109"/>
    <x v="194"/>
    <n v="20.75"/>
    <n v="20.75"/>
    <x v="1"/>
    <x v="3"/>
    <s v="Prosciutto di San Daniele, Arugula, Mozzarella Cheese"/>
    <x v="6"/>
  </r>
  <r>
    <n v="201"/>
    <s v="spicy_ital_s"/>
    <s v="John Miller"/>
    <n v="1"/>
    <x v="109"/>
    <x v="195"/>
    <n v="12.5"/>
    <n v="12.5"/>
    <x v="3"/>
    <x v="3"/>
    <s v="Capocollo, Tomatoes, Goat Cheese, Artichokes, Peperoncini verdi, Garlic"/>
    <x v="10"/>
  </r>
  <r>
    <n v="202"/>
    <s v="mediterraneo_m"/>
    <s v="Anthony Campbell"/>
    <n v="1"/>
    <x v="110"/>
    <x v="196"/>
    <n v="16"/>
    <n v="16"/>
    <x v="0"/>
    <x v="2"/>
    <s v="Spinach, Artichokes, Kalamata Olives, Sun-dried Tomatoes, Feta Cheese, Plum Tomatoes, Red Onions"/>
    <x v="16"/>
  </r>
  <r>
    <n v="203"/>
    <s v="veggie_veg_s"/>
    <s v="Noah Adams"/>
    <n v="1"/>
    <x v="110"/>
    <x v="197"/>
    <n v="12"/>
    <n v="12"/>
    <x v="3"/>
    <x v="2"/>
    <s v="Mushrooms, Tomatoes, Red Peppers, Green Peppers, Red Onions, Zucchini, Spinach, Garlic"/>
    <x v="19"/>
  </r>
  <r>
    <n v="204"/>
    <s v="five_cheese_l"/>
    <s v="Madison Allen"/>
    <n v="1"/>
    <x v="111"/>
    <x v="198"/>
    <n v="18.5"/>
    <n v="18.5"/>
    <x v="1"/>
    <x v="2"/>
    <s v="Mozzarella Cheese, Provolone Cheese, Smoked Gouda Cheese, Romano Cheese, Blue Cheese, Garlic"/>
    <x v="2"/>
  </r>
  <r>
    <n v="205"/>
    <s v="sicilian_s"/>
    <s v="Sarah Johnson"/>
    <n v="1"/>
    <x v="111"/>
    <x v="199"/>
    <n v="12.25"/>
    <n v="12.25"/>
    <x v="3"/>
    <x v="3"/>
    <s v="Coarse Sicilian Salami, Tomatoes, Green Olives, Luganega Sausage, Onions, Garlic"/>
    <x v="12"/>
  </r>
  <r>
    <n v="206"/>
    <s v="sicilian_l"/>
    <s v="Olivia Thompson"/>
    <n v="1"/>
    <x v="111"/>
    <x v="200"/>
    <n v="20.25"/>
    <n v="20.25"/>
    <x v="1"/>
    <x v="3"/>
    <s v="Coarse Sicilian Salami, Tomatoes, Green Olives, Luganega Sausage, Onions, Garlic"/>
    <x v="12"/>
  </r>
  <r>
    <n v="207"/>
    <s v="mediterraneo_l"/>
    <s v="Ethan White"/>
    <n v="1"/>
    <x v="112"/>
    <x v="201"/>
    <n v="20.25"/>
    <n v="20.25"/>
    <x v="1"/>
    <x v="2"/>
    <s v="Spinach, Artichokes, Kalamata Olives, Sun-dried Tomatoes, Feta Cheese, Plum Tomatoes, Red Onions"/>
    <x v="16"/>
  </r>
  <r>
    <n v="208"/>
    <s v="ckn_pesto_m"/>
    <s v="Noah Hall"/>
    <n v="1"/>
    <x v="113"/>
    <x v="202"/>
    <n v="16.75"/>
    <n v="16.75"/>
    <x v="0"/>
    <x v="1"/>
    <s v="Chicken, Tomatoes, Red Peppers, Spinach, Garlic, Pesto Sauce"/>
    <x v="21"/>
  </r>
  <r>
    <n v="209"/>
    <s v="peppr_salami_l"/>
    <s v="Dylan Baker"/>
    <n v="1"/>
    <x v="114"/>
    <x v="203"/>
    <n v="20.75"/>
    <n v="20.75"/>
    <x v="1"/>
    <x v="3"/>
    <s v="Genoa Salami, Capocollo, Pepperoni, Tomatoes, Asiago Cheese, Garlic"/>
    <x v="14"/>
  </r>
  <r>
    <n v="210"/>
    <s v="calabrese_m"/>
    <s v="Tyler Baker"/>
    <n v="1"/>
    <x v="115"/>
    <x v="204"/>
    <n v="16.25"/>
    <n v="16.25"/>
    <x v="0"/>
    <x v="3"/>
    <s v="慛duja Salami, Pancetta, Tomatoes, Red Onions, Friggitello Peppers, Garlic"/>
    <x v="22"/>
  </r>
  <r>
    <n v="211"/>
    <s v="pepperoni_m"/>
    <s v="Andrew Lee"/>
    <n v="1"/>
    <x v="115"/>
    <x v="205"/>
    <n v="12.5"/>
    <n v="12.5"/>
    <x v="0"/>
    <x v="0"/>
    <s v="Mozzarella Cheese, Pepperoni"/>
    <x v="5"/>
  </r>
  <r>
    <n v="212"/>
    <s v="pepperoni_m"/>
    <s v="Stephanie Roberts"/>
    <n v="1"/>
    <x v="115"/>
    <x v="206"/>
    <n v="12.5"/>
    <n v="12.5"/>
    <x v="0"/>
    <x v="0"/>
    <s v="Mozzarella Cheese, Pepperoni"/>
    <x v="5"/>
  </r>
  <r>
    <n v="213"/>
    <s v="ital_veggie_m"/>
    <s v="Nicholas Brown"/>
    <n v="1"/>
    <x v="116"/>
    <x v="207"/>
    <n v="16.75"/>
    <n v="16.75"/>
    <x v="0"/>
    <x v="2"/>
    <s v="Eggplant, Artichokes, Tomatoes, Zucchini, Red Peppers, Garlic, Pesto Sauce"/>
    <x v="11"/>
  </r>
  <r>
    <n v="214"/>
    <s v="prsc_argla_s"/>
    <s v="Robert Robinson"/>
    <n v="1"/>
    <x v="116"/>
    <x v="208"/>
    <n v="12.5"/>
    <n v="12.5"/>
    <x v="3"/>
    <x v="3"/>
    <s v="Prosciutto di San Daniele, Arugula, Mozzarella Cheese"/>
    <x v="6"/>
  </r>
  <r>
    <n v="215"/>
    <s v="spicy_ital_l"/>
    <s v="Madison Johnson"/>
    <n v="1"/>
    <x v="116"/>
    <x v="209"/>
    <n v="20.75"/>
    <n v="20.75"/>
    <x v="1"/>
    <x v="3"/>
    <s v="Capocollo, Tomatoes, Goat Cheese, Artichokes, Peperoncini verdi, Garlic"/>
    <x v="10"/>
  </r>
  <r>
    <n v="216"/>
    <s v="prsc_argla_m"/>
    <s v="Alexander Torres"/>
    <n v="1"/>
    <x v="117"/>
    <x v="210"/>
    <n v="16.5"/>
    <n v="16.5"/>
    <x v="0"/>
    <x v="3"/>
    <s v="Prosciutto di San Daniele, Arugula, Mozzarella Cheese"/>
    <x v="6"/>
  </r>
  <r>
    <n v="217"/>
    <s v="sicilian_l"/>
    <s v="Megan Carter"/>
    <n v="1"/>
    <x v="117"/>
    <x v="211"/>
    <n v="20.25"/>
    <n v="20.25"/>
    <x v="1"/>
    <x v="3"/>
    <s v="Coarse Sicilian Salami, Tomatoes, Green Olives, Luganega Sausage, Onions, Garlic"/>
    <x v="12"/>
  </r>
  <r>
    <n v="218"/>
    <s v="ital_cpcllo_m"/>
    <s v="Justin Jones"/>
    <n v="1"/>
    <x v="117"/>
    <x v="212"/>
    <n v="16"/>
    <n v="16"/>
    <x v="0"/>
    <x v="0"/>
    <s v="Capocollo, Red Peppers, Tomatoes, Goat Cheese, Garlic, Oregano"/>
    <x v="25"/>
  </r>
  <r>
    <n v="219"/>
    <s v="big_meat_s"/>
    <s v="Brittany Walker"/>
    <n v="1"/>
    <x v="117"/>
    <x v="213"/>
    <n v="12"/>
    <n v="12"/>
    <x v="3"/>
    <x v="0"/>
    <s v="Bacon, Pepperoni, Italian Sausage, Chorizo Sausage"/>
    <x v="24"/>
  </r>
  <r>
    <n v="220"/>
    <s v="pepperoni_m"/>
    <s v="Ethan Campbell"/>
    <n v="1"/>
    <x v="118"/>
    <x v="214"/>
    <n v="12.5"/>
    <n v="12.5"/>
    <x v="0"/>
    <x v="0"/>
    <s v="Mozzarella Cheese, Pepperoni"/>
    <x v="5"/>
  </r>
  <r>
    <n v="221"/>
    <s v="veggie_veg_m"/>
    <s v="Jennifer White"/>
    <n v="1"/>
    <x v="118"/>
    <x v="215"/>
    <n v="16"/>
    <n v="16"/>
    <x v="0"/>
    <x v="2"/>
    <s v="Mushrooms, Tomatoes, Red Peppers, Green Peppers, Red Onions, Zucchini, Spinach, Garlic"/>
    <x v="19"/>
  </r>
  <r>
    <n v="222"/>
    <s v="classic_dlx_m"/>
    <s v="Samantha Allen"/>
    <n v="1"/>
    <x v="118"/>
    <x v="216"/>
    <n v="16"/>
    <n v="16"/>
    <x v="0"/>
    <x v="0"/>
    <s v="Pepperoni, Mushrooms, Red Onions, Red Peppers, Bacon"/>
    <x v="0"/>
  </r>
  <r>
    <n v="223"/>
    <s v="pep_msh_pep_m"/>
    <s v="Olivia Ramirez"/>
    <n v="1"/>
    <x v="119"/>
    <x v="217"/>
    <n v="14.5"/>
    <n v="14.5"/>
    <x v="0"/>
    <x v="0"/>
    <s v="Pepperoni, Mushrooms, Green Peppers"/>
    <x v="30"/>
  </r>
  <r>
    <n v="224"/>
    <s v="ital_supr_m"/>
    <s v="Jacob Hernandez"/>
    <n v="1"/>
    <x v="119"/>
    <x v="218"/>
    <n v="16.5"/>
    <n v="16.5"/>
    <x v="0"/>
    <x v="3"/>
    <s v="Calabrese Salami, Capocollo, Tomatoes, Red Onions, Green Olives, Garlic"/>
    <x v="7"/>
  </r>
  <r>
    <n v="225"/>
    <s v="sicilian_s"/>
    <s v="Hannah Gonzalez"/>
    <n v="1"/>
    <x v="119"/>
    <x v="219"/>
    <n v="12.25"/>
    <n v="12.25"/>
    <x v="3"/>
    <x v="3"/>
    <s v="Coarse Sicilian Salami, Tomatoes, Green Olives, Luganega Sausage, Onions, Garlic"/>
    <x v="12"/>
  </r>
  <r>
    <n v="226"/>
    <s v="bbq_ckn_s"/>
    <s v="Rachel Perez"/>
    <n v="1"/>
    <x v="120"/>
    <x v="220"/>
    <n v="12.75"/>
    <n v="12.75"/>
    <x v="3"/>
    <x v="1"/>
    <s v="Barbecued Chicken, Red Peppers, Green Peppers, Tomatoes, Red Onions, Barbecue Sauce"/>
    <x v="13"/>
  </r>
  <r>
    <n v="227"/>
    <s v="mexicana_l"/>
    <s v="Brandon Parker"/>
    <n v="1"/>
    <x v="121"/>
    <x v="221"/>
    <n v="20.25"/>
    <n v="20.25"/>
    <x v="1"/>
    <x v="2"/>
    <s v="Tomatoes, Red Peppers, Jalapeno Peppers, Red Onions, Cilantro, Corn, Chipotle Sauce, Garlic"/>
    <x v="8"/>
  </r>
  <r>
    <n v="228"/>
    <s v="green_garden_s"/>
    <s v="Michael Baker"/>
    <n v="1"/>
    <x v="121"/>
    <x v="222"/>
    <n v="12"/>
    <n v="12"/>
    <x v="3"/>
    <x v="2"/>
    <s v="Spinach, Mushrooms, Tomatoes, Green Olives, Feta Cheese"/>
    <x v="27"/>
  </r>
  <r>
    <n v="229"/>
    <s v="bbq_ckn_m"/>
    <s v="Ethan Baker"/>
    <n v="1"/>
    <x v="121"/>
    <x v="223"/>
    <n v="16.75"/>
    <n v="16.75"/>
    <x v="0"/>
    <x v="1"/>
    <s v="Barbecued Chicken, Red Peppers, Green Peppers, Tomatoes, Red Onions, Barbecue Sauce"/>
    <x v="13"/>
  </r>
  <r>
    <n v="230"/>
    <s v="sicilian_s"/>
    <s v="Courtney Johnson"/>
    <n v="1"/>
    <x v="122"/>
    <x v="224"/>
    <n v="12.25"/>
    <n v="12.25"/>
    <x v="3"/>
    <x v="3"/>
    <s v="Coarse Sicilian Salami, Tomatoes, Green Olives, Luganega Sausage, Onions, Garlic"/>
    <x v="12"/>
  </r>
  <r>
    <n v="231"/>
    <s v="spin_pesto_l"/>
    <s v="Jacob Garcia"/>
    <n v="1"/>
    <x v="123"/>
    <x v="225"/>
    <n v="20.75"/>
    <n v="20.75"/>
    <x v="1"/>
    <x v="2"/>
    <s v="Spinach, Artichokes, Tomatoes, Sun-dried Tomatoes, Garlic, Pesto Sauce"/>
    <x v="23"/>
  </r>
  <r>
    <n v="232"/>
    <s v="big_meat_s"/>
    <s v="Megan Williams"/>
    <n v="1"/>
    <x v="123"/>
    <x v="226"/>
    <n v="12"/>
    <n v="12"/>
    <x v="3"/>
    <x v="0"/>
    <s v="Bacon, Pepperoni, Italian Sausage, Chorizo Sausage"/>
    <x v="24"/>
  </r>
  <r>
    <n v="233"/>
    <s v="bbq_ckn_l"/>
    <s v="Daniel Parker"/>
    <n v="1"/>
    <x v="124"/>
    <x v="227"/>
    <n v="20.75"/>
    <n v="20.75"/>
    <x v="1"/>
    <x v="1"/>
    <s v="Barbecued Chicken, Red Peppers, Green Peppers, Tomatoes, Red Onions, Barbecue Sauce"/>
    <x v="13"/>
  </r>
  <r>
    <n v="234"/>
    <s v="bbq_ckn_l"/>
    <s v="Andrew Mitchell"/>
    <n v="1"/>
    <x v="124"/>
    <x v="228"/>
    <n v="20.75"/>
    <n v="20.75"/>
    <x v="1"/>
    <x v="1"/>
    <s v="Barbecued Chicken, Red Peppers, Green Peppers, Tomatoes, Red Onions, Barbecue Sauce"/>
    <x v="13"/>
  </r>
  <r>
    <n v="235"/>
    <s v="calabrese_s"/>
    <s v="Tyler Scott"/>
    <n v="1"/>
    <x v="125"/>
    <x v="229"/>
    <n v="12.25"/>
    <n v="12.25"/>
    <x v="3"/>
    <x v="3"/>
    <s v="慛duja Salami, Pancetta, Tomatoes, Red Onions, Friggitello Peppers, Garlic"/>
    <x v="22"/>
  </r>
  <r>
    <n v="236"/>
    <s v="veggie_veg_m"/>
    <s v="Lauren Torres"/>
    <n v="1"/>
    <x v="125"/>
    <x v="230"/>
    <n v="16"/>
    <n v="16"/>
    <x v="0"/>
    <x v="2"/>
    <s v="Mushrooms, Tomatoes, Red Peppers, Green Peppers, Red Onions, Zucchini, Spinach, Garlic"/>
    <x v="19"/>
  </r>
  <r>
    <n v="237"/>
    <s v="calabrese_m"/>
    <s v="Alexis Nelson"/>
    <n v="1"/>
    <x v="125"/>
    <x v="231"/>
    <n v="16.25"/>
    <n v="16.25"/>
    <x v="0"/>
    <x v="3"/>
    <s v="慛duja Salami, Pancetta, Tomatoes, Red Onions, Friggitello Peppers, Garlic"/>
    <x v="22"/>
  </r>
  <r>
    <n v="238"/>
    <s v="pepperoni_s"/>
    <s v="William Nelson"/>
    <n v="1"/>
    <x v="125"/>
    <x v="232"/>
    <n v="9.75"/>
    <n v="9.75"/>
    <x v="3"/>
    <x v="0"/>
    <s v="Mozzarella Cheese, Pepperoni"/>
    <x v="5"/>
  </r>
  <r>
    <n v="239"/>
    <s v="green_garden_s"/>
    <s v="Linda White"/>
    <n v="1"/>
    <x v="126"/>
    <x v="233"/>
    <n v="12"/>
    <n v="12"/>
    <x v="3"/>
    <x v="2"/>
    <s v="Spinach, Mushrooms, Tomatoes, Green Olives, Feta Cheese"/>
    <x v="27"/>
  </r>
  <r>
    <n v="240"/>
    <s v="the_greek_xl"/>
    <s v="Sophia Taylor"/>
    <n v="1"/>
    <x v="127"/>
    <x v="234"/>
    <n v="25.5"/>
    <n v="25.5"/>
    <x v="2"/>
    <x v="0"/>
    <s v="Kalamata Olives, Feta Cheese, Tomatoes, Garlic, Beef Chuck Roast, Red Onions"/>
    <x v="4"/>
  </r>
  <r>
    <n v="241"/>
    <s v="veggie_veg_l"/>
    <s v="Emily Green"/>
    <n v="1"/>
    <x v="127"/>
    <x v="235"/>
    <n v="20.25"/>
    <n v="20.25"/>
    <x v="1"/>
    <x v="2"/>
    <s v="Mushrooms, Tomatoes, Red Peppers, Green Peppers, Red Onions, Zucchini, Spinach, Garlic"/>
    <x v="19"/>
  </r>
  <r>
    <n v="242"/>
    <s v="big_meat_s"/>
    <s v="David Miller"/>
    <n v="1"/>
    <x v="127"/>
    <x v="236"/>
    <n v="12"/>
    <n v="12"/>
    <x v="3"/>
    <x v="0"/>
    <s v="Bacon, Pepperoni, Italian Sausage, Chorizo Sausage"/>
    <x v="24"/>
  </r>
  <r>
    <n v="243"/>
    <s v="southw_ckn_l"/>
    <s v="Taylor Thomas"/>
    <n v="1"/>
    <x v="127"/>
    <x v="237"/>
    <n v="20.75"/>
    <n v="20.75"/>
    <x v="1"/>
    <x v="1"/>
    <s v="Chicken, Tomatoes, Red Peppers, Red Onions, Jalapeno Peppers, Corn, Cilantro, Chipotle Sauce"/>
    <x v="15"/>
  </r>
  <r>
    <n v="244"/>
    <s v="hawaiian_m"/>
    <s v="Ethan Parker"/>
    <n v="1"/>
    <x v="128"/>
    <x v="238"/>
    <n v="13.25"/>
    <n v="13.25"/>
    <x v="0"/>
    <x v="0"/>
    <s v="Sliced Ham, Pineapple, Mozzarella Cheese"/>
    <x v="18"/>
  </r>
  <r>
    <n v="245"/>
    <s v="green_garden_s"/>
    <s v="Daniel Thomas"/>
    <n v="1"/>
    <x v="129"/>
    <x v="239"/>
    <n v="12"/>
    <n v="12"/>
    <x v="3"/>
    <x v="2"/>
    <s v="Spinach, Mushrooms, Tomatoes, Green Olives, Feta Cheese"/>
    <x v="27"/>
  </r>
  <r>
    <n v="246"/>
    <s v="prsc_argla_l"/>
    <s v="Brianna Adams"/>
    <n v="1"/>
    <x v="129"/>
    <x v="240"/>
    <n v="20.75"/>
    <n v="20.75"/>
    <x v="1"/>
    <x v="3"/>
    <s v="Prosciutto di San Daniele, Arugula, Mozzarella Cheese"/>
    <x v="6"/>
  </r>
  <r>
    <n v="247"/>
    <s v="peppr_salami_m"/>
    <s v="Stephanie Nelson"/>
    <n v="1"/>
    <x v="130"/>
    <x v="241"/>
    <n v="16.5"/>
    <n v="16.5"/>
    <x v="0"/>
    <x v="3"/>
    <s v="Genoa Salami, Capocollo, Pepperoni, Tomatoes, Asiago Cheese, Garlic"/>
    <x v="14"/>
  </r>
  <r>
    <n v="248"/>
    <s v="spicy_ital_m"/>
    <s v="Samantha Ramirez"/>
    <n v="1"/>
    <x v="131"/>
    <x v="242"/>
    <n v="16.5"/>
    <n v="16.5"/>
    <x v="0"/>
    <x v="3"/>
    <s v="Capocollo, Tomatoes, Goat Cheese, Artichokes, Peperoncini verdi, Garlic"/>
    <x v="10"/>
  </r>
  <r>
    <n v="249"/>
    <s v="peppr_salami_s"/>
    <s v="Tyler Mitchell"/>
    <n v="1"/>
    <x v="132"/>
    <x v="243"/>
    <n v="12.5"/>
    <n v="12.5"/>
    <x v="3"/>
    <x v="3"/>
    <s v="Genoa Salami, Capocollo, Pepperoni, Tomatoes, Asiago Cheese, Garlic"/>
    <x v="14"/>
  </r>
  <r>
    <n v="250"/>
    <s v="spicy_ital_l"/>
    <s v="Daniel Hill"/>
    <n v="1"/>
    <x v="132"/>
    <x v="244"/>
    <n v="20.75"/>
    <n v="20.75"/>
    <x v="1"/>
    <x v="3"/>
    <s v="Capocollo, Tomatoes, Goat Cheese, Artichokes, Peperoncini verdi, Garlic"/>
    <x v="10"/>
  </r>
  <r>
    <n v="251"/>
    <s v="ckn_pesto_m"/>
    <s v="Hannah Roberts"/>
    <n v="1"/>
    <x v="133"/>
    <x v="245"/>
    <n v="16.75"/>
    <n v="16.75"/>
    <x v="0"/>
    <x v="1"/>
    <s v="Chicken, Tomatoes, Red Peppers, Spinach, Garlic, Pesto Sauce"/>
    <x v="21"/>
  </r>
  <r>
    <n v="252"/>
    <s v="big_meat_s"/>
    <s v="Joshua Evans"/>
    <n v="1"/>
    <x v="133"/>
    <x v="246"/>
    <n v="12"/>
    <n v="12"/>
    <x v="3"/>
    <x v="0"/>
    <s v="Bacon, Pepperoni, Italian Sausage, Chorizo Sausage"/>
    <x v="24"/>
  </r>
  <r>
    <n v="253"/>
    <s v="peppr_salami_m"/>
    <s v="Taylor Allen"/>
    <n v="1"/>
    <x v="134"/>
    <x v="247"/>
    <n v="16.5"/>
    <n v="16.5"/>
    <x v="0"/>
    <x v="3"/>
    <s v="Genoa Salami, Capocollo, Pepperoni, Tomatoes, Asiago Cheese, Garlic"/>
    <x v="14"/>
  </r>
  <r>
    <n v="254"/>
    <s v="ckn_pesto_m"/>
    <s v="Matthew Garcia"/>
    <n v="1"/>
    <x v="134"/>
    <x v="248"/>
    <n v="16.75"/>
    <n v="16.75"/>
    <x v="0"/>
    <x v="1"/>
    <s v="Chicken, Tomatoes, Red Peppers, Spinach, Garlic, Pesto Sauce"/>
    <x v="21"/>
  </r>
  <r>
    <n v="255"/>
    <s v="ital_veggie_m"/>
    <s v="Ashley Parker"/>
    <n v="2"/>
    <x v="135"/>
    <x v="249"/>
    <n v="16.75"/>
    <n v="33.5"/>
    <x v="0"/>
    <x v="2"/>
    <s v="Eggplant, Artichokes, Tomatoes, Zucchini, Red Peppers, Garlic, Pesto Sauce"/>
    <x v="11"/>
  </r>
  <r>
    <n v="256"/>
    <s v="green_garden_s"/>
    <s v="Matthew Phillips"/>
    <n v="1"/>
    <x v="135"/>
    <x v="250"/>
    <n v="12"/>
    <n v="12"/>
    <x v="3"/>
    <x v="2"/>
    <s v="Spinach, Mushrooms, Tomatoes, Green Olives, Feta Cheese"/>
    <x v="27"/>
  </r>
  <r>
    <n v="257"/>
    <s v="the_greek_xl"/>
    <s v="Jacob Adams"/>
    <n v="1"/>
    <x v="135"/>
    <x v="251"/>
    <n v="25.5"/>
    <n v="25.5"/>
    <x v="2"/>
    <x v="0"/>
    <s v="Kalamata Olives, Feta Cheese, Tomatoes, Garlic, Beef Chuck Roast, Red Onions"/>
    <x v="4"/>
  </r>
  <r>
    <n v="258"/>
    <s v="peppr_salami_s"/>
    <s v="Amber Carter"/>
    <n v="1"/>
    <x v="136"/>
    <x v="252"/>
    <n v="12.5"/>
    <n v="12.5"/>
    <x v="3"/>
    <x v="3"/>
    <s v="Genoa Salami, Capocollo, Pepperoni, Tomatoes, Asiago Cheese, Garlic"/>
    <x v="14"/>
  </r>
  <r>
    <n v="259"/>
    <s v="classic_dlx_l"/>
    <s v="Courtney Walker"/>
    <n v="1"/>
    <x v="136"/>
    <x v="253"/>
    <n v="20.5"/>
    <n v="20.5"/>
    <x v="1"/>
    <x v="0"/>
    <s v="Pepperoni, Mushrooms, Red Onions, Red Peppers, Bacon"/>
    <x v="0"/>
  </r>
  <r>
    <n v="260"/>
    <s v="four_cheese_m"/>
    <s v="Madison Carter"/>
    <n v="1"/>
    <x v="136"/>
    <x v="254"/>
    <n v="14.75"/>
    <n v="14.75"/>
    <x v="0"/>
    <x v="2"/>
    <s v="Ricotta Cheese, Gorgonzola Piccante Cheese, Mozzarella Cheese, Parmigiano Reggiano Cheese, Garlic"/>
    <x v="9"/>
  </r>
  <r>
    <n v="261"/>
    <s v="spin_pesto_s"/>
    <s v="Zachary Moore"/>
    <n v="1"/>
    <x v="136"/>
    <x v="255"/>
    <n v="12.5"/>
    <n v="12.5"/>
    <x v="3"/>
    <x v="2"/>
    <s v="Spinach, Artichokes, Tomatoes, Sun-dried Tomatoes, Garlic, Pesto Sauce"/>
    <x v="23"/>
  </r>
  <r>
    <n v="262"/>
    <s v="ital_cpcllo_l"/>
    <s v="Logan Green"/>
    <n v="1"/>
    <x v="136"/>
    <x v="256"/>
    <n v="20.5"/>
    <n v="20.5"/>
    <x v="1"/>
    <x v="0"/>
    <s v="Capocollo, Red Peppers, Tomatoes, Goat Cheese, Garlic, Oregano"/>
    <x v="25"/>
  </r>
  <r>
    <n v="263"/>
    <s v="pep_msh_pep_s"/>
    <s v="John Johnson"/>
    <n v="1"/>
    <x v="137"/>
    <x v="257"/>
    <n v="11"/>
    <n v="11"/>
    <x v="3"/>
    <x v="0"/>
    <s v="Pepperoni, Mushrooms, Green Peppers"/>
    <x v="30"/>
  </r>
  <r>
    <n v="264"/>
    <s v="spicy_ital_l"/>
    <s v="Samantha Davis"/>
    <n v="1"/>
    <x v="138"/>
    <x v="258"/>
    <n v="20.75"/>
    <n v="20.75"/>
    <x v="1"/>
    <x v="3"/>
    <s v="Capocollo, Tomatoes, Goat Cheese, Artichokes, Peperoncini verdi, Garlic"/>
    <x v="10"/>
  </r>
  <r>
    <n v="265"/>
    <s v="four_cheese_l"/>
    <s v="Brittany Thomas"/>
    <n v="1"/>
    <x v="138"/>
    <x v="259"/>
    <n v="17.95"/>
    <n v="17.95"/>
    <x v="1"/>
    <x v="2"/>
    <s v="Ricotta Cheese, Gorgonzola Piccante Cheese, Mozzarella Cheese, Parmigiano Reggiano Cheese, Garlic"/>
    <x v="9"/>
  </r>
  <r>
    <n v="266"/>
    <s v="ital_supr_m"/>
    <s v="Amanda Lewis"/>
    <n v="1"/>
    <x v="138"/>
    <x v="260"/>
    <n v="16.5"/>
    <n v="16.5"/>
    <x v="0"/>
    <x v="3"/>
    <s v="Calabrese Salami, Capocollo, Tomatoes, Red Onions, Green Olives, Garlic"/>
    <x v="7"/>
  </r>
  <r>
    <n v="267"/>
    <s v="hawaiian_s"/>
    <s v="David Adams"/>
    <n v="1"/>
    <x v="139"/>
    <x v="261"/>
    <n v="10.5"/>
    <n v="10.5"/>
    <x v="3"/>
    <x v="0"/>
    <s v="Sliced Ham, Pineapple, Mozzarella Cheese"/>
    <x v="18"/>
  </r>
  <r>
    <n v="268"/>
    <s v="sicilian_m"/>
    <s v="Dylan Miller"/>
    <n v="1"/>
    <x v="139"/>
    <x v="262"/>
    <n v="16.25"/>
    <n v="16.25"/>
    <x v="0"/>
    <x v="3"/>
    <s v="Coarse Sicilian Salami, Tomatoes, Green Olives, Luganega Sausage, Onions, Garlic"/>
    <x v="12"/>
  </r>
  <r>
    <n v="269"/>
    <s v="spicy_ital_s"/>
    <s v="Brandon Young"/>
    <n v="1"/>
    <x v="140"/>
    <x v="263"/>
    <n v="12.5"/>
    <n v="12.5"/>
    <x v="3"/>
    <x v="3"/>
    <s v="Capocollo, Tomatoes, Goat Cheese, Artichokes, Peperoncini verdi, Garlic"/>
    <x v="10"/>
  </r>
  <r>
    <n v="270"/>
    <s v="green_garden_s"/>
    <s v="Elizabeth Wright"/>
    <n v="1"/>
    <x v="141"/>
    <x v="264"/>
    <n v="12"/>
    <n v="12"/>
    <x v="3"/>
    <x v="2"/>
    <s v="Spinach, Mushrooms, Tomatoes, Green Olives, Feta Cheese"/>
    <x v="27"/>
  </r>
  <r>
    <n v="271"/>
    <s v="hawaiian_s"/>
    <s v="Sarah King"/>
    <n v="1"/>
    <x v="141"/>
    <x v="265"/>
    <n v="10.5"/>
    <n v="10.5"/>
    <x v="3"/>
    <x v="0"/>
    <s v="Sliced Ham, Pineapple, Mozzarella Cheese"/>
    <x v="18"/>
  </r>
  <r>
    <n v="272"/>
    <s v="prsc_argla_l"/>
    <s v="Olivia Hill"/>
    <n v="1"/>
    <x v="142"/>
    <x v="266"/>
    <n v="20.75"/>
    <n v="20.75"/>
    <x v="1"/>
    <x v="3"/>
    <s v="Prosciutto di San Daniele, Arugula, Mozzarella Cheese"/>
    <x v="6"/>
  </r>
  <r>
    <n v="273"/>
    <s v="thai_ckn_l"/>
    <s v="Brandon Hernandez"/>
    <n v="1"/>
    <x v="143"/>
    <x v="267"/>
    <n v="20.75"/>
    <n v="20.75"/>
    <x v="1"/>
    <x v="1"/>
    <s v="Chicken, Pineapple, Tomatoes, Red Peppers, Thai Sweet Chilli Sauce"/>
    <x v="17"/>
  </r>
  <r>
    <n v="274"/>
    <s v="bbq_ckn_l"/>
    <s v="Brianna Nelson"/>
    <n v="1"/>
    <x v="144"/>
    <x v="268"/>
    <n v="20.75"/>
    <n v="20.75"/>
    <x v="1"/>
    <x v="1"/>
    <s v="Barbecued Chicken, Red Peppers, Green Peppers, Tomatoes, Red Onions, Barbecue Sauce"/>
    <x v="13"/>
  </r>
  <r>
    <n v="275"/>
    <s v="big_meat_s"/>
    <s v="Lauren Roberts"/>
    <n v="1"/>
    <x v="145"/>
    <x v="269"/>
    <n v="12"/>
    <n v="12"/>
    <x v="3"/>
    <x v="0"/>
    <s v="Bacon, Pepperoni, Italian Sausage, Chorizo Sausage"/>
    <x v="24"/>
  </r>
  <r>
    <n v="276"/>
    <s v="ital_supr_l"/>
    <s v="Anthony Robinson"/>
    <n v="1"/>
    <x v="146"/>
    <x v="270"/>
    <n v="20.75"/>
    <n v="20.75"/>
    <x v="1"/>
    <x v="3"/>
    <s v="Calabrese Salami, Capocollo, Tomatoes, Red Onions, Green Olives, Garlic"/>
    <x v="7"/>
  </r>
  <r>
    <n v="277"/>
    <s v="green_garden_s"/>
    <s v="Elizabeth Roberts"/>
    <n v="1"/>
    <x v="146"/>
    <x v="271"/>
    <n v="12"/>
    <n v="12"/>
    <x v="3"/>
    <x v="2"/>
    <s v="Spinach, Mushrooms, Tomatoes, Green Olives, Feta Cheese"/>
    <x v="27"/>
  </r>
  <r>
    <n v="278"/>
    <s v="cali_ckn_l"/>
    <s v="Justin King"/>
    <n v="1"/>
    <x v="147"/>
    <x v="272"/>
    <n v="20.75"/>
    <n v="20.75"/>
    <x v="1"/>
    <x v="1"/>
    <s v="Chicken, Artichoke, Spinach, Garlic, Jalapeno Peppers, Fontina Cheese, Gouda Cheese"/>
    <x v="1"/>
  </r>
  <r>
    <n v="279"/>
    <s v="napolitana_l"/>
    <s v="William Gonzalez"/>
    <n v="1"/>
    <x v="147"/>
    <x v="273"/>
    <n v="20.5"/>
    <n v="20.5"/>
    <x v="1"/>
    <x v="0"/>
    <s v="Tomatoes, Anchovies, Green Olives, Red Onions, Garlic"/>
    <x v="26"/>
  </r>
  <r>
    <n v="280"/>
    <s v="big_meat_s"/>
    <s v="Christopher Phillips"/>
    <n v="1"/>
    <x v="148"/>
    <x v="274"/>
    <n v="12"/>
    <n v="12"/>
    <x v="3"/>
    <x v="0"/>
    <s v="Bacon, Pepperoni, Italian Sausage, Chorizo Sausage"/>
    <x v="24"/>
  </r>
  <r>
    <n v="281"/>
    <s v="bbq_ckn_m"/>
    <s v="Logan Phillips"/>
    <n v="1"/>
    <x v="149"/>
    <x v="275"/>
    <n v="16.75"/>
    <n v="16.75"/>
    <x v="0"/>
    <x v="1"/>
    <s v="Barbecued Chicken, Red Peppers, Green Peppers, Tomatoes, Red Onions, Barbecue Sauce"/>
    <x v="13"/>
  </r>
  <r>
    <n v="282"/>
    <s v="the_greek_l"/>
    <s v="Robert Miller"/>
    <n v="1"/>
    <x v="149"/>
    <x v="276"/>
    <n v="20.5"/>
    <n v="20.5"/>
    <x v="1"/>
    <x v="0"/>
    <s v="Kalamata Olives, Feta Cheese, Tomatoes, Garlic, Beef Chuck Roast, Red Onions"/>
    <x v="4"/>
  </r>
  <r>
    <n v="283"/>
    <s v="sicilian_s"/>
    <s v="Emily Thompson"/>
    <n v="1"/>
    <x v="150"/>
    <x v="277"/>
    <n v="12.25"/>
    <n v="12.25"/>
    <x v="3"/>
    <x v="3"/>
    <s v="Coarse Sicilian Salami, Tomatoes, Green Olives, Luganega Sausage, Onions, Garlic"/>
    <x v="12"/>
  </r>
  <r>
    <n v="284"/>
    <s v="veggie_veg_s"/>
    <s v="Brandon Brown"/>
    <n v="1"/>
    <x v="150"/>
    <x v="278"/>
    <n v="12"/>
    <n v="12"/>
    <x v="3"/>
    <x v="2"/>
    <s v="Mushrooms, Tomatoes, Red Peppers, Green Peppers, Red Onions, Zucchini, Spinach, Garlic"/>
    <x v="19"/>
  </r>
  <r>
    <n v="285"/>
    <s v="mediterraneo_m"/>
    <s v="Jacob Brown"/>
    <n v="1"/>
    <x v="150"/>
    <x v="279"/>
    <n v="16"/>
    <n v="16"/>
    <x v="0"/>
    <x v="2"/>
    <s v="Spinach, Artichokes, Kalamata Olives, Sun-dried Tomatoes, Feta Cheese, Plum Tomatoes, Red Onions"/>
    <x v="16"/>
  </r>
  <r>
    <n v="286"/>
    <s v="five_cheese_l"/>
    <s v="William King"/>
    <n v="1"/>
    <x v="151"/>
    <x v="236"/>
    <n v="18.5"/>
    <n v="18.5"/>
    <x v="1"/>
    <x v="2"/>
    <s v="Mozzarella Cheese, Provolone Cheese, Smoked Gouda Cheese, Romano Cheese, Blue Cheese, Garlic"/>
    <x v="2"/>
  </r>
  <r>
    <n v="287"/>
    <s v="mexicana_m"/>
    <s v="Amber Williams"/>
    <n v="1"/>
    <x v="151"/>
    <x v="280"/>
    <n v="16"/>
    <n v="16"/>
    <x v="0"/>
    <x v="2"/>
    <s v="Tomatoes, Red Peppers, Jalapeno Peppers, Red Onions, Cilantro, Corn, Chipotle Sauce, Garlic"/>
    <x v="8"/>
  </r>
  <r>
    <n v="288"/>
    <s v="mexicana_l"/>
    <s v="Samantha Carter"/>
    <n v="1"/>
    <x v="152"/>
    <x v="281"/>
    <n v="20.25"/>
    <n v="20.25"/>
    <x v="1"/>
    <x v="2"/>
    <s v="Tomatoes, Red Peppers, Jalapeno Peppers, Red Onions, Cilantro, Corn, Chipotle Sauce, Garlic"/>
    <x v="8"/>
  </r>
  <r>
    <n v="289"/>
    <s v="spinach_fet_s"/>
    <s v="Kayla Lopez"/>
    <n v="1"/>
    <x v="152"/>
    <x v="282"/>
    <n v="12"/>
    <n v="12"/>
    <x v="3"/>
    <x v="2"/>
    <s v="Spinach, Mushrooms, Red Onions, Feta Cheese, Garlic"/>
    <x v="28"/>
  </r>
  <r>
    <n v="290"/>
    <s v="ital_supr_m"/>
    <s v="Rachel Harris"/>
    <n v="1"/>
    <x v="152"/>
    <x v="283"/>
    <n v="16.5"/>
    <n v="16.5"/>
    <x v="0"/>
    <x v="3"/>
    <s v="Calabrese Salami, Capocollo, Tomatoes, Red Onions, Green Olives, Garlic"/>
    <x v="7"/>
  </r>
  <r>
    <n v="291"/>
    <s v="ital_cpcllo_s"/>
    <s v="Emily Adams"/>
    <n v="1"/>
    <x v="153"/>
    <x v="79"/>
    <n v="12"/>
    <n v="12"/>
    <x v="3"/>
    <x v="0"/>
    <s v="Capocollo, Red Peppers, Tomatoes, Goat Cheese, Garlic, Oregano"/>
    <x v="25"/>
  </r>
  <r>
    <n v="292"/>
    <s v="green_garden_m"/>
    <s v="Michael Young"/>
    <n v="1"/>
    <x v="153"/>
    <x v="284"/>
    <n v="16"/>
    <n v="16"/>
    <x v="0"/>
    <x v="2"/>
    <s v="Spinach, Mushrooms, Tomatoes, Green Olives, Feta Cheese"/>
    <x v="27"/>
  </r>
  <r>
    <n v="293"/>
    <s v="spin_pesto_l"/>
    <s v="Lauren Collins"/>
    <n v="1"/>
    <x v="154"/>
    <x v="285"/>
    <n v="20.75"/>
    <n v="20.75"/>
    <x v="1"/>
    <x v="2"/>
    <s v="Spinach, Artichokes, Tomatoes, Sun-dried Tomatoes, Garlic, Pesto Sauce"/>
    <x v="23"/>
  </r>
  <r>
    <n v="294"/>
    <s v="the_greek_xl"/>
    <s v="Sarah Nelson"/>
    <n v="1"/>
    <x v="154"/>
    <x v="286"/>
    <n v="25.5"/>
    <n v="25.5"/>
    <x v="2"/>
    <x v="0"/>
    <s v="Kalamata Olives, Feta Cheese, Tomatoes, Garlic, Beef Chuck Roast, Red Onions"/>
    <x v="4"/>
  </r>
  <r>
    <n v="295"/>
    <s v="hawaiian_m"/>
    <s v="Megan Allen"/>
    <n v="1"/>
    <x v="155"/>
    <x v="287"/>
    <n v="13.25"/>
    <n v="13.25"/>
    <x v="0"/>
    <x v="0"/>
    <s v="Sliced Ham, Pineapple, Mozzarella Cheese"/>
    <x v="18"/>
  </r>
  <r>
    <n v="296"/>
    <s v="cali_ckn_l"/>
    <s v="Samantha King"/>
    <n v="1"/>
    <x v="156"/>
    <x v="288"/>
    <n v="20.75"/>
    <n v="20.75"/>
    <x v="1"/>
    <x v="1"/>
    <s v="Chicken, Artichoke, Spinach, Garlic, Jalapeno Peppers, Fontina Cheese, Gouda Cheese"/>
    <x v="1"/>
  </r>
  <r>
    <n v="297"/>
    <s v="pepperoni_l"/>
    <s v="Noah Hill"/>
    <n v="1"/>
    <x v="157"/>
    <x v="289"/>
    <n v="15.25"/>
    <n v="15.25"/>
    <x v="1"/>
    <x v="0"/>
    <s v="Mozzarella Cheese, Pepperoni"/>
    <x v="5"/>
  </r>
  <r>
    <n v="298"/>
    <s v="classic_dlx_m"/>
    <s v="Sophia Baker"/>
    <n v="1"/>
    <x v="158"/>
    <x v="290"/>
    <n v="16"/>
    <n v="16"/>
    <x v="0"/>
    <x v="0"/>
    <s v="Pepperoni, Mushrooms, Red Onions, Red Peppers, Bacon"/>
    <x v="0"/>
  </r>
  <r>
    <n v="299"/>
    <s v="southw_ckn_s"/>
    <s v="Elizabeth Walker"/>
    <n v="1"/>
    <x v="158"/>
    <x v="291"/>
    <n v="12.75"/>
    <n v="12.75"/>
    <x v="3"/>
    <x v="1"/>
    <s v="Chicken, Tomatoes, Red Peppers, Red Onions, Jalapeno Peppers, Corn, Cilantro, Chipotle Sauce"/>
    <x v="15"/>
  </r>
  <r>
    <n v="300"/>
    <s v="prsc_argla_s"/>
    <s v="Kayla Perez"/>
    <n v="1"/>
    <x v="159"/>
    <x v="292"/>
    <n v="12.5"/>
    <n v="12.5"/>
    <x v="3"/>
    <x v="3"/>
    <s v="Prosciutto di San Daniele, Arugula, Mozzarella Cheese"/>
    <x v="6"/>
  </r>
  <r>
    <n v="301"/>
    <s v="mediterraneo_m"/>
    <s v="Jennifer Miller"/>
    <n v="1"/>
    <x v="160"/>
    <x v="293"/>
    <n v="16"/>
    <n v="16"/>
    <x v="0"/>
    <x v="2"/>
    <s v="Spinach, Artichokes, Kalamata Olives, Sun-dried Tomatoes, Feta Cheese, Plum Tomatoes, Red Onions"/>
    <x v="16"/>
  </r>
  <r>
    <n v="302"/>
    <s v="cali_ckn_m"/>
    <s v="Jacob Clark"/>
    <n v="1"/>
    <x v="160"/>
    <x v="294"/>
    <n v="16.75"/>
    <n v="16.75"/>
    <x v="0"/>
    <x v="1"/>
    <s v="Chicken, Artichoke, Spinach, Garlic, Jalapeno Peppers, Fontina Cheese, Gouda Cheese"/>
    <x v="1"/>
  </r>
  <r>
    <n v="303"/>
    <s v="sicilian_s"/>
    <s v="Hannah Williams"/>
    <n v="1"/>
    <x v="161"/>
    <x v="295"/>
    <n v="12.25"/>
    <n v="12.25"/>
    <x v="3"/>
    <x v="3"/>
    <s v="Coarse Sicilian Salami, Tomatoes, Green Olives, Luganega Sausage, Onions, Garlic"/>
    <x v="12"/>
  </r>
  <r>
    <n v="304"/>
    <s v="cali_ckn_s"/>
    <s v="Alexander Collins"/>
    <n v="1"/>
    <x v="161"/>
    <x v="296"/>
    <n v="12.75"/>
    <n v="12.75"/>
    <x v="3"/>
    <x v="1"/>
    <s v="Chicken, Artichoke, Spinach, Garlic, Jalapeno Peppers, Fontina Cheese, Gouda Cheese"/>
    <x v="1"/>
  </r>
  <r>
    <n v="305"/>
    <s v="mexicana_m"/>
    <s v="Matthew Robinson"/>
    <n v="1"/>
    <x v="161"/>
    <x v="297"/>
    <n v="16"/>
    <n v="16"/>
    <x v="0"/>
    <x v="2"/>
    <s v="Tomatoes, Red Peppers, Jalapeno Peppers, Red Onions, Cilantro, Corn, Chipotle Sauce, Garlic"/>
    <x v="8"/>
  </r>
  <r>
    <n v="306"/>
    <s v="peppr_salami_s"/>
    <s v="Joshua Young"/>
    <n v="1"/>
    <x v="161"/>
    <x v="298"/>
    <n v="12.5"/>
    <n v="12.5"/>
    <x v="3"/>
    <x v="3"/>
    <s v="Genoa Salami, Capocollo, Pepperoni, Tomatoes, Asiago Cheese, Garlic"/>
    <x v="14"/>
  </r>
  <r>
    <n v="307"/>
    <s v="sicilian_m"/>
    <s v="Brittany Miller"/>
    <n v="1"/>
    <x v="162"/>
    <x v="299"/>
    <n v="16.25"/>
    <n v="16.25"/>
    <x v="0"/>
    <x v="3"/>
    <s v="Coarse Sicilian Salami, Tomatoes, Green Olives, Luganega Sausage, Onions, Garlic"/>
    <x v="12"/>
  </r>
  <r>
    <n v="308"/>
    <s v="classic_dlx_s"/>
    <s v="Zachary Perez"/>
    <n v="1"/>
    <x v="163"/>
    <x v="300"/>
    <n v="12"/>
    <n v="12"/>
    <x v="3"/>
    <x v="0"/>
    <s v="Pepperoni, Mushrooms, Red Onions, Red Peppers, Bacon"/>
    <x v="0"/>
  </r>
  <r>
    <n v="309"/>
    <s v="big_meat_s"/>
    <s v="Ethan Perez"/>
    <n v="1"/>
    <x v="163"/>
    <x v="301"/>
    <n v="12"/>
    <n v="12"/>
    <x v="3"/>
    <x v="0"/>
    <s v="Bacon, Pepperoni, Italian Sausage, Chorizo Sausage"/>
    <x v="24"/>
  </r>
  <r>
    <n v="310"/>
    <s v="ital_cpcllo_l"/>
    <s v="Ashley Martinez"/>
    <n v="1"/>
    <x v="163"/>
    <x v="302"/>
    <n v="20.5"/>
    <n v="20.5"/>
    <x v="1"/>
    <x v="0"/>
    <s v="Capocollo, Red Peppers, Tomatoes, Goat Cheese, Garlic, Oregano"/>
    <x v="25"/>
  </r>
  <r>
    <n v="311"/>
    <s v="soppressata_m"/>
    <s v="Kayla Lee"/>
    <n v="1"/>
    <x v="164"/>
    <x v="303"/>
    <n v="16.5"/>
    <n v="16.5"/>
    <x v="0"/>
    <x v="3"/>
    <s v="Soppressata Salami, Fontina Cheese, Mozzarella Cheese, Mushrooms, Garlic"/>
    <x v="3"/>
  </r>
  <r>
    <n v="312"/>
    <s v="southw_ckn_l"/>
    <s v="Alexander Miller"/>
    <n v="1"/>
    <x v="164"/>
    <x v="304"/>
    <n v="20.75"/>
    <n v="20.75"/>
    <x v="1"/>
    <x v="1"/>
    <s v="Chicken, Tomatoes, Red Peppers, Red Onions, Jalapeno Peppers, Corn, Cilantro, Chipotle Sauce"/>
    <x v="15"/>
  </r>
  <r>
    <n v="313"/>
    <s v="classic_dlx_m"/>
    <s v="Amber Harris"/>
    <n v="1"/>
    <x v="164"/>
    <x v="305"/>
    <n v="16"/>
    <n v="16"/>
    <x v="0"/>
    <x v="0"/>
    <s v="Pepperoni, Mushrooms, Red Onions, Red Peppers, Bacon"/>
    <x v="0"/>
  </r>
  <r>
    <n v="314"/>
    <s v="pepperoni_l"/>
    <s v="Joshua Wright"/>
    <n v="1"/>
    <x v="165"/>
    <x v="306"/>
    <n v="15.25"/>
    <n v="15.25"/>
    <x v="1"/>
    <x v="0"/>
    <s v="Mozzarella Cheese, Pepperoni"/>
    <x v="5"/>
  </r>
  <r>
    <n v="315"/>
    <s v="hawaiian_m"/>
    <s v="Courtney Walker"/>
    <n v="1"/>
    <x v="165"/>
    <x v="307"/>
    <n v="13.25"/>
    <n v="13.25"/>
    <x v="0"/>
    <x v="0"/>
    <s v="Sliced Ham, Pineapple, Mozzarella Cheese"/>
    <x v="18"/>
  </r>
  <r>
    <n v="316"/>
    <s v="ital_supr_l"/>
    <s v="Matthew Moore"/>
    <n v="1"/>
    <x v="165"/>
    <x v="308"/>
    <n v="20.75"/>
    <n v="20.75"/>
    <x v="1"/>
    <x v="3"/>
    <s v="Calabrese Salami, Capocollo, Tomatoes, Red Onions, Green Olives, Garlic"/>
    <x v="7"/>
  </r>
  <r>
    <n v="317"/>
    <s v="spinach_fet_l"/>
    <s v="Samantha Roberts"/>
    <n v="1"/>
    <x v="166"/>
    <x v="309"/>
    <n v="20.25"/>
    <n v="20.25"/>
    <x v="1"/>
    <x v="2"/>
    <s v="Spinach, Mushrooms, Red Onions, Feta Cheese, Garlic"/>
    <x v="28"/>
  </r>
  <r>
    <n v="318"/>
    <s v="pepperoni_m"/>
    <s v="Ethan Martinez"/>
    <n v="1"/>
    <x v="166"/>
    <x v="310"/>
    <n v="12.5"/>
    <n v="12.5"/>
    <x v="0"/>
    <x v="0"/>
    <s v="Mozzarella Cheese, Pepperoni"/>
    <x v="5"/>
  </r>
  <r>
    <n v="319"/>
    <s v="mediterraneo_l"/>
    <s v="Stephanie Allen"/>
    <n v="2"/>
    <x v="167"/>
    <x v="311"/>
    <n v="20.25"/>
    <n v="40.5"/>
    <x v="1"/>
    <x v="2"/>
    <s v="Spinach, Artichokes, Kalamata Olives, Sun-dried Tomatoes, Feta Cheese, Plum Tomatoes, Red Onions"/>
    <x v="16"/>
  </r>
  <r>
    <n v="320"/>
    <s v="peppr_salami_s"/>
    <s v="Ethan Martin"/>
    <n v="1"/>
    <x v="167"/>
    <x v="312"/>
    <n v="12.5"/>
    <n v="12.5"/>
    <x v="3"/>
    <x v="3"/>
    <s v="Genoa Salami, Capocollo, Pepperoni, Tomatoes, Asiago Cheese, Garlic"/>
    <x v="14"/>
  </r>
  <r>
    <n v="321"/>
    <s v="sicilian_l"/>
    <s v="Megan Allen"/>
    <n v="1"/>
    <x v="168"/>
    <x v="313"/>
    <n v="20.25"/>
    <n v="20.25"/>
    <x v="1"/>
    <x v="3"/>
    <s v="Coarse Sicilian Salami, Tomatoes, Green Olives, Luganega Sausage, Onions, Garlic"/>
    <x v="12"/>
  </r>
  <r>
    <n v="322"/>
    <s v="thai_ckn_l"/>
    <s v="Stephanie Thomas"/>
    <n v="1"/>
    <x v="168"/>
    <x v="314"/>
    <n v="20.75"/>
    <n v="20.75"/>
    <x v="1"/>
    <x v="1"/>
    <s v="Chicken, Pineapple, Tomatoes, Red Peppers, Thai Sweet Chilli Sauce"/>
    <x v="17"/>
  </r>
  <r>
    <n v="323"/>
    <s v="the_greek_xl"/>
    <s v="Noah Adams"/>
    <n v="1"/>
    <x v="168"/>
    <x v="315"/>
    <n v="25.5"/>
    <n v="25.5"/>
    <x v="2"/>
    <x v="0"/>
    <s v="Kalamata Olives, Feta Cheese, Tomatoes, Garlic, Beef Chuck Roast, Red Onions"/>
    <x v="4"/>
  </r>
  <r>
    <n v="324"/>
    <s v="southw_ckn_s"/>
    <s v="Zachary Lewis"/>
    <n v="1"/>
    <x v="169"/>
    <x v="103"/>
    <n v="12.75"/>
    <n v="12.75"/>
    <x v="3"/>
    <x v="1"/>
    <s v="Chicken, Tomatoes, Red Peppers, Red Onions, Jalapeno Peppers, Corn, Cilantro, Chipotle Sauce"/>
    <x v="15"/>
  </r>
  <r>
    <n v="325"/>
    <s v="hawaiian_s"/>
    <s v="Madison Gonzalez"/>
    <n v="1"/>
    <x v="169"/>
    <x v="316"/>
    <n v="10.5"/>
    <n v="10.5"/>
    <x v="3"/>
    <x v="0"/>
    <s v="Sliced Ham, Pineapple, Mozzarella Cheese"/>
    <x v="18"/>
  </r>
  <r>
    <n v="326"/>
    <s v="spinach_supr_s"/>
    <s v="Kayla King"/>
    <n v="1"/>
    <x v="169"/>
    <x v="317"/>
    <n v="12.5"/>
    <n v="12.5"/>
    <x v="3"/>
    <x v="3"/>
    <s v="Spinach, Red Onions, Pepperoni, Tomatoes, Artichokes, Kalamata Olives, Garlic, Asiago Cheese"/>
    <x v="29"/>
  </r>
  <r>
    <n v="327"/>
    <s v="soppressata_s"/>
    <s v="Justin Lee"/>
    <n v="1"/>
    <x v="169"/>
    <x v="318"/>
    <n v="12.5"/>
    <n v="12.5"/>
    <x v="3"/>
    <x v="3"/>
    <s v="Soppressata Salami, Fontina Cheese, Mozzarella Cheese, Mushrooms, Garlic"/>
    <x v="3"/>
  </r>
  <r>
    <n v="328"/>
    <s v="four_cheese_m"/>
    <s v="Ethan Jones"/>
    <n v="2"/>
    <x v="170"/>
    <x v="319"/>
    <n v="14.75"/>
    <n v="29.5"/>
    <x v="0"/>
    <x v="2"/>
    <s v="Ricotta Cheese, Gorgonzola Piccante Cheese, Mozzarella Cheese, Parmigiano Reggiano Cheese, Garlic"/>
    <x v="9"/>
  </r>
  <r>
    <n v="329"/>
    <s v="hawaiian_l"/>
    <s v="Brianna Brown"/>
    <n v="1"/>
    <x v="171"/>
    <x v="320"/>
    <n v="16.5"/>
    <n v="16.5"/>
    <x v="1"/>
    <x v="0"/>
    <s v="Sliced Ham, Pineapple, Mozzarella Cheese"/>
    <x v="18"/>
  </r>
  <r>
    <n v="330"/>
    <s v="ital_veggie_s"/>
    <s v="Courtney Perez"/>
    <n v="1"/>
    <x v="171"/>
    <x v="321"/>
    <n v="12.75"/>
    <n v="12.75"/>
    <x v="3"/>
    <x v="2"/>
    <s v="Eggplant, Artichokes, Tomatoes, Zucchini, Red Peppers, Garlic, Pesto Sauce"/>
    <x v="11"/>
  </r>
  <r>
    <n v="331"/>
    <s v="pepperoni_l"/>
    <s v="Zachary Jones"/>
    <n v="1"/>
    <x v="171"/>
    <x v="322"/>
    <n v="15.25"/>
    <n v="15.25"/>
    <x v="1"/>
    <x v="0"/>
    <s v="Mozzarella Cheese, Pepperoni"/>
    <x v="5"/>
  </r>
  <r>
    <n v="332"/>
    <s v="prsc_argla_s"/>
    <s v="Kayla Martinez"/>
    <n v="1"/>
    <x v="172"/>
    <x v="323"/>
    <n v="12.5"/>
    <n v="12.5"/>
    <x v="3"/>
    <x v="3"/>
    <s v="Prosciutto di San Daniele, Arugula, Mozzarella Cheese"/>
    <x v="6"/>
  </r>
  <r>
    <n v="333"/>
    <s v="spinach_fet_m"/>
    <s v="Amber Young"/>
    <n v="1"/>
    <x v="173"/>
    <x v="324"/>
    <n v="16"/>
    <n v="16"/>
    <x v="0"/>
    <x v="2"/>
    <s v="Spinach, Mushrooms, Red Onions, Feta Cheese, Garlic"/>
    <x v="28"/>
  </r>
  <r>
    <n v="334"/>
    <s v="veggie_veg_s"/>
    <s v="Stephanie Martinez"/>
    <n v="1"/>
    <x v="173"/>
    <x v="324"/>
    <n v="12"/>
    <n v="12"/>
    <x v="3"/>
    <x v="2"/>
    <s v="Mushrooms, Tomatoes, Red Peppers, Green Peppers, Red Onions, Zucchini, Spinach, Garlic"/>
    <x v="19"/>
  </r>
  <r>
    <n v="335"/>
    <s v="classic_dlx_m"/>
    <s v="William Lee"/>
    <n v="1"/>
    <x v="174"/>
    <x v="325"/>
    <n v="16"/>
    <n v="16"/>
    <x v="0"/>
    <x v="0"/>
    <s v="Pepperoni, Mushrooms, Red Onions, Red Peppers, Bacon"/>
    <x v="0"/>
  </r>
  <r>
    <n v="336"/>
    <s v="classic_dlx_l"/>
    <s v="Samantha Harris"/>
    <n v="1"/>
    <x v="175"/>
    <x v="326"/>
    <n v="20.5"/>
    <n v="20.5"/>
    <x v="1"/>
    <x v="0"/>
    <s v="Pepperoni, Mushrooms, Red Onions, Red Peppers, Bacon"/>
    <x v="0"/>
  </r>
  <r>
    <n v="337"/>
    <s v="four_cheese_l"/>
    <s v="Taylor Green"/>
    <n v="1"/>
    <x v="175"/>
    <x v="327"/>
    <n v="17.95"/>
    <n v="17.95"/>
    <x v="1"/>
    <x v="2"/>
    <s v="Ricotta Cheese, Gorgonzola Piccante Cheese, Mozzarella Cheese, Parmigiano Reggiano Cheese, Garlic"/>
    <x v="9"/>
  </r>
  <r>
    <n v="338"/>
    <s v="mexicana_l"/>
    <s v="Elizabeth Brown"/>
    <n v="1"/>
    <x v="176"/>
    <x v="328"/>
    <n v="20.25"/>
    <n v="20.25"/>
    <x v="1"/>
    <x v="2"/>
    <s v="Tomatoes, Red Peppers, Jalapeno Peppers, Red Onions, Cilantro, Corn, Chipotle Sauce, Garlic"/>
    <x v="8"/>
  </r>
  <r>
    <n v="339"/>
    <s v="spinach_fet_s"/>
    <s v="Daniel Parker"/>
    <n v="1"/>
    <x v="177"/>
    <x v="329"/>
    <n v="12"/>
    <n v="12"/>
    <x v="3"/>
    <x v="2"/>
    <s v="Spinach, Mushrooms, Red Onions, Feta Cheese, Garlic"/>
    <x v="28"/>
  </r>
  <r>
    <n v="340"/>
    <s v="southw_ckn_l"/>
    <s v="Elizabeth Mitchell"/>
    <n v="1"/>
    <x v="177"/>
    <x v="330"/>
    <n v="20.75"/>
    <n v="20.75"/>
    <x v="1"/>
    <x v="1"/>
    <s v="Chicken, Tomatoes, Red Peppers, Red Onions, Jalapeno Peppers, Corn, Cilantro, Chipotle Sauce"/>
    <x v="15"/>
  </r>
  <r>
    <n v="341"/>
    <s v="four_cheese_l"/>
    <s v="Sophia Smith"/>
    <n v="1"/>
    <x v="177"/>
    <x v="331"/>
    <n v="17.95"/>
    <n v="17.95"/>
    <x v="1"/>
    <x v="2"/>
    <s v="Ricotta Cheese, Gorgonzola Piccante Cheese, Mozzarella Cheese, Parmigiano Reggiano Cheese, Garlic"/>
    <x v="9"/>
  </r>
  <r>
    <n v="342"/>
    <s v="mexicana_l"/>
    <s v="Logan Young"/>
    <n v="1"/>
    <x v="177"/>
    <x v="332"/>
    <n v="20.25"/>
    <n v="20.25"/>
    <x v="1"/>
    <x v="2"/>
    <s v="Tomatoes, Red Peppers, Jalapeno Peppers, Red Onions, Cilantro, Corn, Chipotle Sauce, Garlic"/>
    <x v="8"/>
  </r>
  <r>
    <n v="343"/>
    <s v="classic_dlx_m"/>
    <s v="John Jones"/>
    <n v="1"/>
    <x v="178"/>
    <x v="333"/>
    <n v="16"/>
    <n v="16"/>
    <x v="0"/>
    <x v="0"/>
    <s v="Pepperoni, Mushrooms, Red Onions, Red Peppers, Bacon"/>
    <x v="0"/>
  </r>
  <r>
    <n v="344"/>
    <s v="green_garden_s"/>
    <s v="Anthony Davis"/>
    <n v="1"/>
    <x v="179"/>
    <x v="334"/>
    <n v="12"/>
    <n v="12"/>
    <x v="3"/>
    <x v="2"/>
    <s v="Spinach, Mushrooms, Tomatoes, Green Olives, Feta Cheese"/>
    <x v="27"/>
  </r>
  <r>
    <n v="345"/>
    <s v="napolitana_l"/>
    <s v="Joseph Martinez"/>
    <n v="1"/>
    <x v="179"/>
    <x v="334"/>
    <n v="20.5"/>
    <n v="20.5"/>
    <x v="1"/>
    <x v="0"/>
    <s v="Tomatoes, Anchovies, Green Olives, Red Onions, Garlic"/>
    <x v="26"/>
  </r>
  <r>
    <n v="346"/>
    <s v="thai_ckn_l"/>
    <s v="Matthew Turner"/>
    <n v="1"/>
    <x v="179"/>
    <x v="335"/>
    <n v="20.75"/>
    <n v="20.75"/>
    <x v="1"/>
    <x v="1"/>
    <s v="Chicken, Pineapple, Tomatoes, Red Peppers, Thai Sweet Chilli Sauce"/>
    <x v="17"/>
  </r>
  <r>
    <n v="347"/>
    <s v="spinach_fet_m"/>
    <s v="James Robinson"/>
    <n v="1"/>
    <x v="179"/>
    <x v="336"/>
    <n v="16"/>
    <n v="16"/>
    <x v="0"/>
    <x v="2"/>
    <s v="Spinach, Mushrooms, Red Onions, Feta Cheese, Garlic"/>
    <x v="28"/>
  </r>
  <r>
    <n v="348"/>
    <s v="sicilian_s"/>
    <s v="Brittany Lewis"/>
    <n v="1"/>
    <x v="180"/>
    <x v="337"/>
    <n v="12.25"/>
    <n v="12.25"/>
    <x v="3"/>
    <x v="3"/>
    <s v="Coarse Sicilian Salami, Tomatoes, Green Olives, Luganega Sausage, Onions, Garlic"/>
    <x v="12"/>
  </r>
  <r>
    <n v="349"/>
    <s v="pepperoni_l"/>
    <s v="Ryan Williams"/>
    <n v="1"/>
    <x v="180"/>
    <x v="338"/>
    <n v="15.25"/>
    <n v="15.25"/>
    <x v="1"/>
    <x v="0"/>
    <s v="Mozzarella Cheese, Pepperoni"/>
    <x v="5"/>
  </r>
  <r>
    <n v="350"/>
    <s v="spinach_fet_m"/>
    <s v="Andrew Adams"/>
    <n v="1"/>
    <x v="180"/>
    <x v="339"/>
    <n v="16"/>
    <n v="16"/>
    <x v="0"/>
    <x v="2"/>
    <s v="Spinach, Mushrooms, Red Onions, Feta Cheese, Garlic"/>
    <x v="28"/>
  </r>
  <r>
    <n v="351"/>
    <s v="ckn_pesto_s"/>
    <s v="Tyler Davis"/>
    <n v="1"/>
    <x v="181"/>
    <x v="340"/>
    <n v="12.75"/>
    <n v="12.75"/>
    <x v="3"/>
    <x v="1"/>
    <s v="Chicken, Tomatoes, Red Peppers, Spinach, Garlic, Pesto Sauce"/>
    <x v="21"/>
  </r>
  <r>
    <n v="352"/>
    <s v="southw_ckn_l"/>
    <s v="Anthony Martinez"/>
    <n v="1"/>
    <x v="181"/>
    <x v="341"/>
    <n v="20.75"/>
    <n v="20.75"/>
    <x v="1"/>
    <x v="1"/>
    <s v="Chicken, Tomatoes, Red Peppers, Red Onions, Jalapeno Peppers, Corn, Cilantro, Chipotle Sauce"/>
    <x v="15"/>
  </r>
  <r>
    <n v="353"/>
    <s v="spin_pesto_m"/>
    <s v="Dylan Thomas"/>
    <n v="1"/>
    <x v="182"/>
    <x v="342"/>
    <n v="16.5"/>
    <n v="16.5"/>
    <x v="0"/>
    <x v="2"/>
    <s v="Spinach, Artichokes, Tomatoes, Sun-dried Tomatoes, Garlic, Pesto Sauce"/>
    <x v="23"/>
  </r>
  <r>
    <n v="354"/>
    <s v="spinach_fet_m"/>
    <s v="Lauren White"/>
    <n v="1"/>
    <x v="182"/>
    <x v="343"/>
    <n v="16"/>
    <n v="16"/>
    <x v="0"/>
    <x v="2"/>
    <s v="Spinach, Mushrooms, Red Onions, Feta Cheese, Garlic"/>
    <x v="28"/>
  </r>
  <r>
    <n v="355"/>
    <s v="prsc_argla_m"/>
    <s v="Victoria Smith"/>
    <n v="1"/>
    <x v="183"/>
    <x v="344"/>
    <n v="16.5"/>
    <n v="16.5"/>
    <x v="0"/>
    <x v="3"/>
    <s v="Prosciutto di San Daniele, Arugula, Mozzarella Cheese"/>
    <x v="6"/>
  </r>
  <r>
    <n v="356"/>
    <s v="bbq_ckn_l"/>
    <s v="Elizabeth Evans"/>
    <n v="1"/>
    <x v="183"/>
    <x v="345"/>
    <n v="20.75"/>
    <n v="20.75"/>
    <x v="1"/>
    <x v="1"/>
    <s v="Barbecued Chicken, Red Peppers, Green Peppers, Tomatoes, Red Onions, Barbecue Sauce"/>
    <x v="13"/>
  </r>
  <r>
    <n v="357"/>
    <s v="prsc_argla_l"/>
    <s v="Jennifer Martin"/>
    <n v="1"/>
    <x v="184"/>
    <x v="346"/>
    <n v="20.75"/>
    <n v="20.75"/>
    <x v="1"/>
    <x v="3"/>
    <s v="Prosciutto di San Daniele, Arugula, Mozzarella Cheese"/>
    <x v="6"/>
  </r>
  <r>
    <n v="358"/>
    <s v="thai_ckn_l"/>
    <s v="Elizabeth Scott"/>
    <n v="1"/>
    <x v="185"/>
    <x v="347"/>
    <n v="20.75"/>
    <n v="20.75"/>
    <x v="1"/>
    <x v="1"/>
    <s v="Chicken, Pineapple, Tomatoes, Red Peppers, Thai Sweet Chilli Sauce"/>
    <x v="17"/>
  </r>
  <r>
    <n v="359"/>
    <s v="sicilian_l"/>
    <s v="Jacob Turner"/>
    <n v="1"/>
    <x v="185"/>
    <x v="348"/>
    <n v="20.25"/>
    <n v="20.25"/>
    <x v="1"/>
    <x v="3"/>
    <s v="Coarse Sicilian Salami, Tomatoes, Green Olives, Luganega Sausage, Onions, Garlic"/>
    <x v="12"/>
  </r>
  <r>
    <n v="360"/>
    <s v="thai_ckn_m"/>
    <s v="Alexis Gonzalez"/>
    <n v="1"/>
    <x v="186"/>
    <x v="349"/>
    <n v="16.75"/>
    <n v="16.75"/>
    <x v="0"/>
    <x v="1"/>
    <s v="Chicken, Pineapple, Tomatoes, Red Peppers, Thai Sweet Chilli Sauce"/>
    <x v="17"/>
  </r>
  <r>
    <n v="361"/>
    <s v="calabrese_s"/>
    <s v="Samantha Walker"/>
    <n v="1"/>
    <x v="186"/>
    <x v="350"/>
    <n v="12.25"/>
    <n v="12.25"/>
    <x v="3"/>
    <x v="3"/>
    <s v="慛duja Salami, Pancetta, Tomatoes, Red Onions, Friggitello Peppers, Garlic"/>
    <x v="22"/>
  </r>
  <r>
    <n v="362"/>
    <s v="hawaiian_l"/>
    <s v="Brandon Smith"/>
    <n v="1"/>
    <x v="186"/>
    <x v="351"/>
    <n v="16.5"/>
    <n v="16.5"/>
    <x v="1"/>
    <x v="0"/>
    <s v="Sliced Ham, Pineapple, Mozzarella Cheese"/>
    <x v="18"/>
  </r>
  <r>
    <n v="363"/>
    <s v="big_meat_s"/>
    <s v="Amanda Young"/>
    <n v="1"/>
    <x v="186"/>
    <x v="352"/>
    <n v="12"/>
    <n v="12"/>
    <x v="3"/>
    <x v="0"/>
    <s v="Bacon, Pepperoni, Italian Sausage, Chorizo Sausage"/>
    <x v="24"/>
  </r>
  <r>
    <n v="364"/>
    <s v="four_cheese_m"/>
    <s v="Robert Williams"/>
    <n v="1"/>
    <x v="187"/>
    <x v="353"/>
    <n v="14.75"/>
    <n v="14.75"/>
    <x v="0"/>
    <x v="2"/>
    <s v="Ricotta Cheese, Gorgonzola Piccante Cheese, Mozzarella Cheese, Parmigiano Reggiano Cheese, Garlic"/>
    <x v="9"/>
  </r>
  <r>
    <n v="365"/>
    <s v="ital_veggie_m"/>
    <s v="Megan Thomas"/>
    <n v="1"/>
    <x v="188"/>
    <x v="354"/>
    <n v="16.75"/>
    <n v="16.75"/>
    <x v="0"/>
    <x v="2"/>
    <s v="Eggplant, Artichokes, Tomatoes, Zucchini, Red Peppers, Garlic, Pesto Sauce"/>
    <x v="11"/>
  </r>
  <r>
    <n v="366"/>
    <s v="five_cheese_l"/>
    <s v="Courtney Wright"/>
    <n v="2"/>
    <x v="188"/>
    <x v="355"/>
    <n v="18.5"/>
    <n v="37"/>
    <x v="1"/>
    <x v="2"/>
    <s v="Mozzarella Cheese, Provolone Cheese, Smoked Gouda Cheese, Romano Cheese, Blue Cheese, Garlic"/>
    <x v="2"/>
  </r>
  <r>
    <n v="367"/>
    <s v="classic_dlx_l"/>
    <s v="Madison Thompson"/>
    <n v="1"/>
    <x v="188"/>
    <x v="356"/>
    <n v="20.5"/>
    <n v="20.5"/>
    <x v="1"/>
    <x v="0"/>
    <s v="Pepperoni, Mushrooms, Red Onions, Red Peppers, Bacon"/>
    <x v="0"/>
  </r>
  <r>
    <n v="368"/>
    <s v="southw_ckn_l"/>
    <s v="Amber Carter"/>
    <n v="1"/>
    <x v="189"/>
    <x v="357"/>
    <n v="20.75"/>
    <n v="20.75"/>
    <x v="1"/>
    <x v="1"/>
    <s v="Chicken, Tomatoes, Red Peppers, Red Onions, Jalapeno Peppers, Corn, Cilantro, Chipotle Sauce"/>
    <x v="15"/>
  </r>
  <r>
    <n v="369"/>
    <s v="mexicana_l"/>
    <s v="Tyler Hernandez"/>
    <n v="1"/>
    <x v="189"/>
    <x v="358"/>
    <n v="20.25"/>
    <n v="20.25"/>
    <x v="1"/>
    <x v="2"/>
    <s v="Tomatoes, Red Peppers, Jalapeno Peppers, Red Onions, Cilantro, Corn, Chipotle Sauce, Garlic"/>
    <x v="8"/>
  </r>
  <r>
    <n v="370"/>
    <s v="ckn_pesto_l"/>
    <s v="Jennifer Baker"/>
    <n v="1"/>
    <x v="190"/>
    <x v="359"/>
    <n v="20.75"/>
    <n v="20.75"/>
    <x v="1"/>
    <x v="1"/>
    <s v="Chicken, Tomatoes, Red Peppers, Spinach, Garlic, Pesto Sauce"/>
    <x v="21"/>
  </r>
  <r>
    <n v="371"/>
    <s v="classic_dlx_s"/>
    <s v="David Parker"/>
    <n v="1"/>
    <x v="191"/>
    <x v="360"/>
    <n v="12"/>
    <n v="12"/>
    <x v="3"/>
    <x v="0"/>
    <s v="Pepperoni, Mushrooms, Red Onions, Red Peppers, Bacon"/>
    <x v="0"/>
  </r>
  <r>
    <n v="372"/>
    <s v="pepperoni_s"/>
    <s v="Jessica Walker"/>
    <n v="1"/>
    <x v="191"/>
    <x v="361"/>
    <n v="9.75"/>
    <n v="9.75"/>
    <x v="3"/>
    <x v="0"/>
    <s v="Mozzarella Cheese, Pepperoni"/>
    <x v="5"/>
  </r>
  <r>
    <n v="373"/>
    <s v="prsc_argla_m"/>
    <s v="Victoria Parker"/>
    <n v="1"/>
    <x v="191"/>
    <x v="362"/>
    <n v="16.5"/>
    <n v="16.5"/>
    <x v="0"/>
    <x v="3"/>
    <s v="Prosciutto di San Daniele, Arugula, Mozzarella Cheese"/>
    <x v="6"/>
  </r>
  <r>
    <n v="374"/>
    <s v="soppressata_l"/>
    <s v="Brianna Miller"/>
    <n v="1"/>
    <x v="191"/>
    <x v="363"/>
    <n v="20.75"/>
    <n v="20.75"/>
    <x v="1"/>
    <x v="3"/>
    <s v="Soppressata Salami, Fontina Cheese, Mozzarella Cheese, Mushrooms, Garlic"/>
    <x v="3"/>
  </r>
  <r>
    <n v="375"/>
    <s v="pep_msh_pep_s"/>
    <s v="Amanda Carter"/>
    <n v="1"/>
    <x v="192"/>
    <x v="364"/>
    <n v="11"/>
    <n v="11"/>
    <x v="3"/>
    <x v="0"/>
    <s v="Pepperoni, Mushrooms, Green Peppers"/>
    <x v="30"/>
  </r>
  <r>
    <n v="376"/>
    <s v="classic_dlx_l"/>
    <s v="Joseph Perez"/>
    <n v="1"/>
    <x v="193"/>
    <x v="365"/>
    <n v="20.5"/>
    <n v="20.5"/>
    <x v="1"/>
    <x v="0"/>
    <s v="Pepperoni, Mushrooms, Red Onions, Red Peppers, Bacon"/>
    <x v="0"/>
  </r>
  <r>
    <n v="377"/>
    <s v="napolitana_s"/>
    <s v="Christopher Johnson"/>
    <n v="1"/>
    <x v="193"/>
    <x v="366"/>
    <n v="12"/>
    <n v="12"/>
    <x v="3"/>
    <x v="0"/>
    <s v="Tomatoes, Anchovies, Green Olives, Red Onions, Garlic"/>
    <x v="26"/>
  </r>
  <r>
    <n v="378"/>
    <s v="peppr_salami_m"/>
    <s v="Brianna Sanchez"/>
    <n v="1"/>
    <x v="193"/>
    <x v="367"/>
    <n v="16.5"/>
    <n v="16.5"/>
    <x v="0"/>
    <x v="3"/>
    <s v="Genoa Salami, Capocollo, Pepperoni, Tomatoes, Asiago Cheese, Garlic"/>
    <x v="14"/>
  </r>
  <r>
    <n v="379"/>
    <s v="four_cheese_l"/>
    <s v="Noah Gonzalez"/>
    <n v="1"/>
    <x v="193"/>
    <x v="368"/>
    <n v="17.95"/>
    <n v="17.95"/>
    <x v="1"/>
    <x v="2"/>
    <s v="Ricotta Cheese, Gorgonzola Piccante Cheese, Mozzarella Cheese, Parmigiano Reggiano Cheese, Garlic"/>
    <x v="9"/>
  </r>
  <r>
    <n v="380"/>
    <s v="ckn_pesto_s"/>
    <s v="Courtney Hall"/>
    <n v="1"/>
    <x v="194"/>
    <x v="369"/>
    <n v="12.75"/>
    <n v="12.75"/>
    <x v="3"/>
    <x v="1"/>
    <s v="Chicken, Tomatoes, Red Peppers, Spinach, Garlic, Pesto Sauce"/>
    <x v="21"/>
  </r>
  <r>
    <n v="381"/>
    <s v="pepperoni_l"/>
    <s v="James White"/>
    <n v="1"/>
    <x v="194"/>
    <x v="370"/>
    <n v="15.25"/>
    <n v="15.25"/>
    <x v="1"/>
    <x v="0"/>
    <s v="Mozzarella Cheese, Pepperoni"/>
    <x v="5"/>
  </r>
  <r>
    <n v="382"/>
    <s v="pepperoni_s"/>
    <s v="Brianna Williams"/>
    <n v="1"/>
    <x v="195"/>
    <x v="371"/>
    <n v="9.75"/>
    <n v="9.75"/>
    <x v="3"/>
    <x v="0"/>
    <s v="Mozzarella Cheese, Pepperoni"/>
    <x v="5"/>
  </r>
  <r>
    <n v="383"/>
    <s v="classic_dlx_m"/>
    <s v="Stephanie King"/>
    <n v="1"/>
    <x v="195"/>
    <x v="372"/>
    <n v="16"/>
    <n v="16"/>
    <x v="0"/>
    <x v="0"/>
    <s v="Pepperoni, Mushrooms, Red Onions, Red Peppers, Bacon"/>
    <x v="0"/>
  </r>
  <r>
    <n v="384"/>
    <s v="four_cheese_l"/>
    <s v="John Sanchez"/>
    <n v="2"/>
    <x v="196"/>
    <x v="373"/>
    <n v="17.95"/>
    <n v="35.9"/>
    <x v="1"/>
    <x v="2"/>
    <s v="Ricotta Cheese, Gorgonzola Piccante Cheese, Mozzarella Cheese, Parmigiano Reggiano Cheese, Garlic"/>
    <x v="9"/>
  </r>
  <r>
    <n v="385"/>
    <s v="cali_ckn_l"/>
    <s v="Nicholas Hernandez"/>
    <n v="1"/>
    <x v="196"/>
    <x v="374"/>
    <n v="20.75"/>
    <n v="20.75"/>
    <x v="1"/>
    <x v="1"/>
    <s v="Chicken, Artichoke, Spinach, Garlic, Jalapeno Peppers, Fontina Cheese, Gouda Cheese"/>
    <x v="1"/>
  </r>
  <r>
    <n v="386"/>
    <s v="soppressata_s"/>
    <s v="Joseph Taylor"/>
    <n v="1"/>
    <x v="196"/>
    <x v="375"/>
    <n v="12.5"/>
    <n v="12.5"/>
    <x v="3"/>
    <x v="3"/>
    <s v="Soppressata Salami, Fontina Cheese, Mozzarella Cheese, Mushrooms, Garlic"/>
    <x v="3"/>
  </r>
  <r>
    <n v="387"/>
    <s v="ital_supr_s"/>
    <s v="Noah Sanchez"/>
    <n v="1"/>
    <x v="197"/>
    <x v="376"/>
    <n v="12.5"/>
    <n v="12.5"/>
    <x v="3"/>
    <x v="3"/>
    <s v="Calabrese Salami, Capocollo, Tomatoes, Red Onions, Green Olives, Garlic"/>
    <x v="7"/>
  </r>
  <r>
    <n v="388"/>
    <s v="spicy_ital_m"/>
    <s v="Robert Baker"/>
    <n v="1"/>
    <x v="198"/>
    <x v="377"/>
    <n v="16.5"/>
    <n v="16.5"/>
    <x v="0"/>
    <x v="3"/>
    <s v="Capocollo, Tomatoes, Goat Cheese, Artichokes, Peperoncini verdi, Garlic"/>
    <x v="10"/>
  </r>
  <r>
    <n v="389"/>
    <s v="southw_ckn_l"/>
    <s v="Robert Davis"/>
    <n v="1"/>
    <x v="198"/>
    <x v="378"/>
    <n v="20.75"/>
    <n v="20.75"/>
    <x v="1"/>
    <x v="1"/>
    <s v="Chicken, Tomatoes, Red Peppers, Red Onions, Jalapeno Peppers, Corn, Cilantro, Chipotle Sauce"/>
    <x v="15"/>
  </r>
  <r>
    <n v="390"/>
    <s v="cali_ckn_s"/>
    <s v="Joshua Lewis"/>
    <n v="1"/>
    <x v="199"/>
    <x v="379"/>
    <n v="12.75"/>
    <n v="12.75"/>
    <x v="3"/>
    <x v="1"/>
    <s v="Chicken, Artichoke, Spinach, Garlic, Jalapeno Peppers, Fontina Cheese, Gouda Cheese"/>
    <x v="1"/>
  </r>
  <r>
    <n v="391"/>
    <s v="ital_cpcllo_l"/>
    <s v="John Walker"/>
    <n v="1"/>
    <x v="199"/>
    <x v="380"/>
    <n v="20.5"/>
    <n v="20.5"/>
    <x v="1"/>
    <x v="0"/>
    <s v="Capocollo, Red Peppers, Tomatoes, Goat Cheese, Garlic, Oregano"/>
    <x v="25"/>
  </r>
  <r>
    <n v="392"/>
    <s v="bbq_ckn_l"/>
    <s v="Lauren White"/>
    <n v="1"/>
    <x v="200"/>
    <x v="381"/>
    <n v="20.75"/>
    <n v="20.75"/>
    <x v="1"/>
    <x v="1"/>
    <s v="Barbecued Chicken, Red Peppers, Green Peppers, Tomatoes, Red Onions, Barbecue Sauce"/>
    <x v="13"/>
  </r>
  <r>
    <n v="393"/>
    <s v="spinach_fet_l"/>
    <s v="Zachary Baker"/>
    <n v="1"/>
    <x v="201"/>
    <x v="382"/>
    <n v="20.25"/>
    <n v="20.25"/>
    <x v="1"/>
    <x v="2"/>
    <s v="Spinach, Mushrooms, Red Onions, Feta Cheese, Garlic"/>
    <x v="28"/>
  </r>
  <r>
    <n v="394"/>
    <s v="sicilian_m"/>
    <s v="Michael Williams"/>
    <n v="1"/>
    <x v="201"/>
    <x v="383"/>
    <n v="16.25"/>
    <n v="16.25"/>
    <x v="0"/>
    <x v="3"/>
    <s v="Coarse Sicilian Salami, Tomatoes, Green Olives, Luganega Sausage, Onions, Garlic"/>
    <x v="12"/>
  </r>
  <r>
    <n v="395"/>
    <s v="green_garden_s"/>
    <s v="Rachel Miller"/>
    <n v="1"/>
    <x v="202"/>
    <x v="384"/>
    <n v="12"/>
    <n v="12"/>
    <x v="3"/>
    <x v="2"/>
    <s v="Spinach, Mushrooms, Tomatoes, Green Olives, Feta Cheese"/>
    <x v="27"/>
  </r>
  <r>
    <n v="396"/>
    <s v="soppressata_m"/>
    <s v="Brandon Lee"/>
    <n v="1"/>
    <x v="202"/>
    <x v="385"/>
    <n v="16.5"/>
    <n v="16.5"/>
    <x v="0"/>
    <x v="3"/>
    <s v="Soppressata Salami, Fontina Cheese, Mozzarella Cheese, Mushrooms, Garlic"/>
    <x v="3"/>
  </r>
  <r>
    <n v="397"/>
    <s v="soppressata_l"/>
    <s v="Zachary Ramirez"/>
    <n v="1"/>
    <x v="203"/>
    <x v="386"/>
    <n v="20.75"/>
    <n v="20.75"/>
    <x v="1"/>
    <x v="3"/>
    <s v="Soppressata Salami, Fontina Cheese, Mozzarella Cheese, Mushrooms, Garlic"/>
    <x v="3"/>
  </r>
  <r>
    <n v="398"/>
    <s v="southw_ckn_l"/>
    <s v="Brandon Evans"/>
    <n v="1"/>
    <x v="203"/>
    <x v="386"/>
    <n v="20.75"/>
    <n v="20.75"/>
    <x v="1"/>
    <x v="1"/>
    <s v="Chicken, Tomatoes, Red Peppers, Red Onions, Jalapeno Peppers, Corn, Cilantro, Chipotle Sauce"/>
    <x v="15"/>
  </r>
  <r>
    <n v="399"/>
    <s v="four_cheese_l"/>
    <s v="Jennifer Green"/>
    <n v="1"/>
    <x v="203"/>
    <x v="387"/>
    <n v="17.95"/>
    <n v="17.95"/>
    <x v="1"/>
    <x v="2"/>
    <s v="Ricotta Cheese, Gorgonzola Piccante Cheese, Mozzarella Cheese, Parmigiano Reggiano Cheese, Garlic"/>
    <x v="9"/>
  </r>
  <r>
    <n v="400"/>
    <s v="the_greek_l"/>
    <s v="Sarah Wright"/>
    <n v="1"/>
    <x v="204"/>
    <x v="388"/>
    <n v="20.5"/>
    <n v="20.5"/>
    <x v="1"/>
    <x v="0"/>
    <s v="Kalamata Olives, Feta Cheese, Tomatoes, Garlic, Beef Chuck Roast, Red Onions"/>
    <x v="4"/>
  </r>
  <r>
    <n v="401"/>
    <s v="napolitana_l"/>
    <s v="William Perez"/>
    <n v="1"/>
    <x v="205"/>
    <x v="389"/>
    <n v="20.5"/>
    <n v="20.5"/>
    <x v="1"/>
    <x v="0"/>
    <s v="Tomatoes, Anchovies, Green Olives, Red Onions, Garlic"/>
    <x v="26"/>
  </r>
  <r>
    <n v="402"/>
    <s v="classic_dlx_s"/>
    <s v="Christopher Roberts"/>
    <n v="1"/>
    <x v="206"/>
    <x v="390"/>
    <n v="12"/>
    <n v="12"/>
    <x v="3"/>
    <x v="0"/>
    <s v="Pepperoni, Mushrooms, Red Onions, Red Peppers, Bacon"/>
    <x v="0"/>
  </r>
  <r>
    <n v="403"/>
    <s v="pepperoni_m"/>
    <s v="Madison Mitchell"/>
    <n v="1"/>
    <x v="207"/>
    <x v="391"/>
    <n v="12.5"/>
    <n v="12.5"/>
    <x v="0"/>
    <x v="0"/>
    <s v="Mozzarella Cheese, Pepperoni"/>
    <x v="5"/>
  </r>
  <r>
    <n v="404"/>
    <s v="pepperoni_m"/>
    <s v="Tyler Jackson"/>
    <n v="1"/>
    <x v="207"/>
    <x v="392"/>
    <n v="12.5"/>
    <n v="12.5"/>
    <x v="0"/>
    <x v="0"/>
    <s v="Mozzarella Cheese, Pepperoni"/>
    <x v="5"/>
  </r>
  <r>
    <n v="405"/>
    <s v="spin_pesto_s"/>
    <s v="Logan Green"/>
    <n v="1"/>
    <x v="208"/>
    <x v="393"/>
    <n v="12.5"/>
    <n v="12.5"/>
    <x v="3"/>
    <x v="2"/>
    <s v="Spinach, Artichokes, Tomatoes, Sun-dried Tomatoes, Garlic, Pesto Sauce"/>
    <x v="23"/>
  </r>
  <r>
    <n v="406"/>
    <s v="ital_cpcllo_s"/>
    <s v="James Phillips"/>
    <n v="1"/>
    <x v="209"/>
    <x v="394"/>
    <n v="12"/>
    <n v="12"/>
    <x v="3"/>
    <x v="0"/>
    <s v="Capocollo, Red Peppers, Tomatoes, Goat Cheese, Garlic, Oregano"/>
    <x v="25"/>
  </r>
  <r>
    <n v="407"/>
    <s v="ckn_pesto_s"/>
    <s v="Madison Moore"/>
    <n v="1"/>
    <x v="209"/>
    <x v="395"/>
    <n v="12.75"/>
    <n v="12.75"/>
    <x v="3"/>
    <x v="1"/>
    <s v="Chicken, Tomatoes, Red Peppers, Spinach, Garlic, Pesto Sauce"/>
    <x v="21"/>
  </r>
  <r>
    <n v="408"/>
    <s v="thai_ckn_l"/>
    <s v="Daniel Moore"/>
    <n v="1"/>
    <x v="210"/>
    <x v="396"/>
    <n v="20.75"/>
    <n v="20.75"/>
    <x v="1"/>
    <x v="1"/>
    <s v="Chicken, Pineapple, Tomatoes, Red Peppers, Thai Sweet Chilli Sauce"/>
    <x v="17"/>
  </r>
  <r>
    <n v="409"/>
    <s v="classic_dlx_s"/>
    <s v="Alexis King"/>
    <n v="1"/>
    <x v="210"/>
    <x v="397"/>
    <n v="12"/>
    <n v="12"/>
    <x v="3"/>
    <x v="0"/>
    <s v="Pepperoni, Mushrooms, Red Onions, Red Peppers, Bacon"/>
    <x v="0"/>
  </r>
  <r>
    <n v="410"/>
    <s v="peppr_salami_s"/>
    <s v="Daniel Ramirez"/>
    <n v="1"/>
    <x v="211"/>
    <x v="398"/>
    <n v="12.5"/>
    <n v="12.5"/>
    <x v="3"/>
    <x v="3"/>
    <s v="Genoa Salami, Capocollo, Pepperoni, Tomatoes, Asiago Cheese, Garlic"/>
    <x v="14"/>
  </r>
  <r>
    <n v="411"/>
    <s v="ckn_alfredo_l"/>
    <s v="Nicholas Thompson"/>
    <n v="1"/>
    <x v="211"/>
    <x v="399"/>
    <n v="20.75"/>
    <n v="20.75"/>
    <x v="1"/>
    <x v="1"/>
    <s v="Chicken, Red Onions, Red Peppers, Mushrooms, Asiago Cheese, Alfredo Sauce"/>
    <x v="20"/>
  </r>
  <r>
    <n v="412"/>
    <s v="bbq_ckn_s"/>
    <s v="Amber Lee"/>
    <n v="1"/>
    <x v="212"/>
    <x v="400"/>
    <n v="12.75"/>
    <n v="12.75"/>
    <x v="3"/>
    <x v="1"/>
    <s v="Barbecued Chicken, Red Peppers, Green Peppers, Tomatoes, Red Onions, Barbecue Sauce"/>
    <x v="13"/>
  </r>
  <r>
    <n v="413"/>
    <s v="spinach_supr_s"/>
    <s v="Samantha Williams"/>
    <n v="1"/>
    <x v="212"/>
    <x v="401"/>
    <n v="12.5"/>
    <n v="12.5"/>
    <x v="3"/>
    <x v="3"/>
    <s v="Spinach, Red Onions, Pepperoni, Tomatoes, Artichokes, Kalamata Olives, Garlic, Asiago Cheese"/>
    <x v="29"/>
  </r>
  <r>
    <n v="414"/>
    <s v="mediterraneo_m"/>
    <s v="Alexis Smith"/>
    <n v="1"/>
    <x v="213"/>
    <x v="402"/>
    <n v="16"/>
    <n v="16"/>
    <x v="0"/>
    <x v="2"/>
    <s v="Spinach, Artichokes, Kalamata Olives, Sun-dried Tomatoes, Feta Cheese, Plum Tomatoes, Red Onions"/>
    <x v="16"/>
  </r>
  <r>
    <n v="415"/>
    <s v="pep_msh_pep_m"/>
    <s v="Amanda Phillips"/>
    <n v="1"/>
    <x v="214"/>
    <x v="403"/>
    <n v="14.5"/>
    <n v="14.5"/>
    <x v="0"/>
    <x v="0"/>
    <s v="Pepperoni, Mushrooms, Green Peppers"/>
    <x v="30"/>
  </r>
  <r>
    <n v="416"/>
    <s v="classic_dlx_s"/>
    <s v="Joshua Hill"/>
    <n v="1"/>
    <x v="215"/>
    <x v="404"/>
    <n v="12"/>
    <n v="12"/>
    <x v="3"/>
    <x v="0"/>
    <s v="Pepperoni, Mushrooms, Red Onions, Red Peppers, Bacon"/>
    <x v="0"/>
  </r>
  <r>
    <n v="417"/>
    <s v="four_cheese_l"/>
    <s v="Brandon Collins"/>
    <n v="1"/>
    <x v="216"/>
    <x v="405"/>
    <n v="17.95"/>
    <n v="17.95"/>
    <x v="1"/>
    <x v="2"/>
    <s v="Ricotta Cheese, Gorgonzola Piccante Cheese, Mozzarella Cheese, Parmigiano Reggiano Cheese, Garlic"/>
    <x v="9"/>
  </r>
  <r>
    <n v="418"/>
    <s v="pep_msh_pep_l"/>
    <s v="Madison Lee"/>
    <n v="1"/>
    <x v="216"/>
    <x v="406"/>
    <n v="17.5"/>
    <n v="17.5"/>
    <x v="1"/>
    <x v="0"/>
    <s v="Pepperoni, Mushrooms, Green Peppers"/>
    <x v="30"/>
  </r>
  <r>
    <n v="419"/>
    <s v="pep_msh_pep_s"/>
    <s v="John Evans"/>
    <n v="1"/>
    <x v="216"/>
    <x v="407"/>
    <n v="11"/>
    <n v="11"/>
    <x v="3"/>
    <x v="0"/>
    <s v="Pepperoni, Mushrooms, Green Peppers"/>
    <x v="30"/>
  </r>
  <r>
    <n v="420"/>
    <s v="pepperoni_m"/>
    <s v="Emily Brown"/>
    <n v="1"/>
    <x v="217"/>
    <x v="408"/>
    <n v="12.5"/>
    <n v="12.5"/>
    <x v="0"/>
    <x v="0"/>
    <s v="Mozzarella Cheese, Pepperoni"/>
    <x v="5"/>
  </r>
  <r>
    <n v="421"/>
    <s v="classic_dlx_l"/>
    <s v="Michael Thomas"/>
    <n v="1"/>
    <x v="218"/>
    <x v="409"/>
    <n v="20.5"/>
    <n v="20.5"/>
    <x v="1"/>
    <x v="0"/>
    <s v="Pepperoni, Mushrooms, Red Onions, Red Peppers, Bacon"/>
    <x v="0"/>
  </r>
  <r>
    <n v="422"/>
    <s v="thai_ckn_l"/>
    <s v="Emily Phillips"/>
    <n v="1"/>
    <x v="219"/>
    <x v="410"/>
    <n v="20.75"/>
    <n v="20.75"/>
    <x v="1"/>
    <x v="1"/>
    <s v="Chicken, Pineapple, Tomatoes, Red Peppers, Thai Sweet Chilli Sauce"/>
    <x v="17"/>
  </r>
  <r>
    <n v="423"/>
    <s v="ckn_alfredo_m"/>
    <s v="Samantha Baker"/>
    <n v="1"/>
    <x v="220"/>
    <x v="411"/>
    <n v="16.75"/>
    <n v="16.75"/>
    <x v="0"/>
    <x v="1"/>
    <s v="Chicken, Red Onions, Red Peppers, Mushrooms, Asiago Cheese, Alfredo Sauce"/>
    <x v="20"/>
  </r>
  <r>
    <n v="424"/>
    <s v="ckn_alfredo_s"/>
    <s v="Noah Nelson"/>
    <n v="1"/>
    <x v="220"/>
    <x v="412"/>
    <n v="12.75"/>
    <n v="12.75"/>
    <x v="3"/>
    <x v="1"/>
    <s v="Chicken, Red Onions, Red Peppers, Mushrooms, Asiago Cheese, Alfredo Sauce"/>
    <x v="20"/>
  </r>
  <r>
    <n v="425"/>
    <s v="thai_ckn_l"/>
    <s v="Robert Hernandez"/>
    <n v="1"/>
    <x v="220"/>
    <x v="413"/>
    <n v="20.75"/>
    <n v="20.75"/>
    <x v="1"/>
    <x v="1"/>
    <s v="Chicken, Pineapple, Tomatoes, Red Peppers, Thai Sweet Chilli Sauce"/>
    <x v="17"/>
  </r>
  <r>
    <n v="426"/>
    <s v="napolitana_l"/>
    <s v="Nicholas Jones"/>
    <n v="1"/>
    <x v="221"/>
    <x v="414"/>
    <n v="20.5"/>
    <n v="20.5"/>
    <x v="1"/>
    <x v="0"/>
    <s v="Tomatoes, Anchovies, Green Olives, Red Onions, Garlic"/>
    <x v="26"/>
  </r>
  <r>
    <n v="427"/>
    <s v="mediterraneo_l"/>
    <s v="Madison Hernandez"/>
    <n v="1"/>
    <x v="221"/>
    <x v="415"/>
    <n v="20.25"/>
    <n v="20.25"/>
    <x v="1"/>
    <x v="2"/>
    <s v="Spinach, Artichokes, Kalamata Olives, Sun-dried Tomatoes, Feta Cheese, Plum Tomatoes, Red Onions"/>
    <x v="16"/>
  </r>
  <r>
    <n v="428"/>
    <s v="spinach_fet_l"/>
    <s v="James Jones"/>
    <n v="1"/>
    <x v="221"/>
    <x v="415"/>
    <n v="20.25"/>
    <n v="20.25"/>
    <x v="1"/>
    <x v="2"/>
    <s v="Spinach, Mushrooms, Red Onions, Feta Cheese, Garlic"/>
    <x v="28"/>
  </r>
  <r>
    <n v="429"/>
    <s v="four_cheese_l"/>
    <s v="Rachel Roberts"/>
    <n v="1"/>
    <x v="221"/>
    <x v="416"/>
    <n v="17.95"/>
    <n v="17.95"/>
    <x v="1"/>
    <x v="2"/>
    <s v="Ricotta Cheese, Gorgonzola Piccante Cheese, Mozzarella Cheese, Parmigiano Reggiano Cheese, Garlic"/>
    <x v="9"/>
  </r>
  <r>
    <n v="430"/>
    <s v="ital_supr_m"/>
    <s v="Robert Hill"/>
    <n v="1"/>
    <x v="222"/>
    <x v="417"/>
    <n v="16.5"/>
    <n v="16.5"/>
    <x v="0"/>
    <x v="3"/>
    <s v="Calabrese Salami, Capocollo, Tomatoes, Red Onions, Green Olives, Garlic"/>
    <x v="7"/>
  </r>
  <r>
    <n v="431"/>
    <s v="mediterraneo_l"/>
    <s v="Daniel Parker"/>
    <n v="1"/>
    <x v="222"/>
    <x v="418"/>
    <n v="20.25"/>
    <n v="20.25"/>
    <x v="1"/>
    <x v="2"/>
    <s v="Spinach, Artichokes, Kalamata Olives, Sun-dried Tomatoes, Feta Cheese, Plum Tomatoes, Red Onions"/>
    <x v="16"/>
  </r>
  <r>
    <n v="432"/>
    <s v="sicilian_s"/>
    <s v="Brittany Baker"/>
    <n v="1"/>
    <x v="222"/>
    <x v="419"/>
    <n v="12.25"/>
    <n v="12.25"/>
    <x v="3"/>
    <x v="3"/>
    <s v="Coarse Sicilian Salami, Tomatoes, Green Olives, Luganega Sausage, Onions, Garlic"/>
    <x v="12"/>
  </r>
  <r>
    <n v="433"/>
    <s v="ital_cpcllo_l"/>
    <s v="Jacob Smith"/>
    <n v="1"/>
    <x v="223"/>
    <x v="420"/>
    <n v="20.5"/>
    <n v="20.5"/>
    <x v="1"/>
    <x v="0"/>
    <s v="Capocollo, Red Peppers, Tomatoes, Goat Cheese, Garlic, Oregano"/>
    <x v="25"/>
  </r>
  <r>
    <n v="434"/>
    <s v="spicy_ital_s"/>
    <s v="Emily Taylor"/>
    <n v="1"/>
    <x v="224"/>
    <x v="421"/>
    <n v="12.5"/>
    <n v="12.5"/>
    <x v="3"/>
    <x v="3"/>
    <s v="Capocollo, Tomatoes, Goat Cheese, Artichokes, Peperoncini verdi, Garlic"/>
    <x v="10"/>
  </r>
  <r>
    <n v="435"/>
    <s v="spinach_supr_m"/>
    <s v="William Gonzalez"/>
    <n v="1"/>
    <x v="225"/>
    <x v="422"/>
    <n v="16.5"/>
    <n v="16.5"/>
    <x v="0"/>
    <x v="3"/>
    <s v="Spinach, Red Onions, Pepperoni, Tomatoes, Artichokes, Kalamata Olives, Garlic, Asiago Cheese"/>
    <x v="29"/>
  </r>
  <r>
    <n v="436"/>
    <s v="mexicana_l"/>
    <s v="Ashley Clark"/>
    <n v="1"/>
    <x v="226"/>
    <x v="423"/>
    <n v="20.25"/>
    <n v="20.25"/>
    <x v="1"/>
    <x v="2"/>
    <s v="Tomatoes, Red Peppers, Jalapeno Peppers, Red Onions, Cilantro, Corn, Chipotle Sauce, Garlic"/>
    <x v="8"/>
  </r>
  <r>
    <n v="437"/>
    <s v="ital_cpcllo_m"/>
    <s v="Courtney Williams"/>
    <n v="1"/>
    <x v="227"/>
    <x v="424"/>
    <n v="16"/>
    <n v="16"/>
    <x v="0"/>
    <x v="0"/>
    <s v="Capocollo, Red Peppers, Tomatoes, Goat Cheese, Garlic, Oregano"/>
    <x v="25"/>
  </r>
  <r>
    <n v="438"/>
    <s v="pepperoni_s"/>
    <s v="Sophia Jones"/>
    <n v="1"/>
    <x v="228"/>
    <x v="425"/>
    <n v="9.75"/>
    <n v="9.75"/>
    <x v="3"/>
    <x v="0"/>
    <s v="Mozzarella Cheese, Pepperoni"/>
    <x v="5"/>
  </r>
  <r>
    <n v="439"/>
    <s v="classic_dlx_s"/>
    <s v="Alexis Evans"/>
    <n v="1"/>
    <x v="229"/>
    <x v="426"/>
    <n v="12"/>
    <n v="12"/>
    <x v="3"/>
    <x v="0"/>
    <s v="Pepperoni, Mushrooms, Red Onions, Red Peppers, Bacon"/>
    <x v="0"/>
  </r>
  <r>
    <n v="440"/>
    <s v="mexicana_l"/>
    <s v="David Gonzalez"/>
    <n v="1"/>
    <x v="230"/>
    <x v="427"/>
    <n v="20.25"/>
    <n v="20.25"/>
    <x v="1"/>
    <x v="2"/>
    <s v="Tomatoes, Red Peppers, Jalapeno Peppers, Red Onions, Cilantro, Corn, Chipotle Sauce, Garlic"/>
    <x v="8"/>
  </r>
  <r>
    <n v="441"/>
    <s v="southw_ckn_m"/>
    <s v="Samantha Jackson"/>
    <n v="1"/>
    <x v="231"/>
    <x v="428"/>
    <n v="16.75"/>
    <n v="16.75"/>
    <x v="0"/>
    <x v="1"/>
    <s v="Chicken, Tomatoes, Red Peppers, Red Onions, Jalapeno Peppers, Corn, Cilantro, Chipotle Sauce"/>
    <x v="15"/>
  </r>
  <r>
    <n v="442"/>
    <s v="brie_carre_s"/>
    <s v="Brianna Young"/>
    <n v="1"/>
    <x v="232"/>
    <x v="429"/>
    <n v="23.65"/>
    <n v="23.65"/>
    <x v="3"/>
    <x v="3"/>
    <s v="Brie Carre Cheese, Prosciutto, Caramelized Onions, Pears, Thyme, Garlic"/>
    <x v="31"/>
  </r>
  <r>
    <n v="443"/>
    <s v="peppr_salami_l"/>
    <s v="Alexis Torres"/>
    <n v="1"/>
    <x v="232"/>
    <x v="430"/>
    <n v="20.75"/>
    <n v="20.75"/>
    <x v="1"/>
    <x v="3"/>
    <s v="Genoa Salami, Capocollo, Pepperoni, Tomatoes, Asiago Cheese, Garlic"/>
    <x v="14"/>
  </r>
  <r>
    <n v="444"/>
    <s v="ckn_pesto_m"/>
    <s v="Tyler Brown"/>
    <n v="1"/>
    <x v="233"/>
    <x v="431"/>
    <n v="16.75"/>
    <n v="16.75"/>
    <x v="0"/>
    <x v="1"/>
    <s v="Chicken, Tomatoes, Red Peppers, Spinach, Garlic, Pesto Sauce"/>
    <x v="21"/>
  </r>
  <r>
    <n v="445"/>
    <s v="spinach_fet_s"/>
    <s v="Tyler Clark"/>
    <n v="1"/>
    <x v="234"/>
    <x v="432"/>
    <n v="12"/>
    <n v="12"/>
    <x v="3"/>
    <x v="2"/>
    <s v="Spinach, Mushrooms, Red Onions, Feta Cheese, Garlic"/>
    <x v="28"/>
  </r>
  <r>
    <n v="446"/>
    <s v="hawaiian_l"/>
    <s v="Sarah Jones"/>
    <n v="1"/>
    <x v="235"/>
    <x v="433"/>
    <n v="16.5"/>
    <n v="16.5"/>
    <x v="1"/>
    <x v="0"/>
    <s v="Sliced Ham, Pineapple, Mozzarella Cheese"/>
    <x v="18"/>
  </r>
  <r>
    <n v="447"/>
    <s v="the_greek_m"/>
    <s v="Courtney Moore"/>
    <n v="1"/>
    <x v="235"/>
    <x v="434"/>
    <n v="16"/>
    <n v="16"/>
    <x v="0"/>
    <x v="0"/>
    <s v="Kalamata Olives, Feta Cheese, Tomatoes, Garlic, Beef Chuck Roast, Red Onions"/>
    <x v="4"/>
  </r>
  <r>
    <n v="448"/>
    <s v="bbq_ckn_l"/>
    <s v="Andrew Hernandez"/>
    <n v="2"/>
    <x v="235"/>
    <x v="435"/>
    <n v="20.75"/>
    <n v="41.5"/>
    <x v="1"/>
    <x v="1"/>
    <s v="Barbecued Chicken, Red Peppers, Green Peppers, Tomatoes, Red Onions, Barbecue Sauce"/>
    <x v="13"/>
  </r>
  <r>
    <n v="449"/>
    <s v="five_cheese_l"/>
    <s v="Joshua Thompson"/>
    <n v="1"/>
    <x v="236"/>
    <x v="436"/>
    <n v="18.5"/>
    <n v="18.5"/>
    <x v="1"/>
    <x v="2"/>
    <s v="Mozzarella Cheese, Provolone Cheese, Smoked Gouda Cheese, Romano Cheese, Blue Cheese, Garlic"/>
    <x v="2"/>
  </r>
  <r>
    <n v="450"/>
    <s v="pepperoni_l"/>
    <s v="Logan Smith"/>
    <n v="1"/>
    <x v="236"/>
    <x v="437"/>
    <n v="15.25"/>
    <n v="15.25"/>
    <x v="1"/>
    <x v="0"/>
    <s v="Mozzarella Cheese, Pepperoni"/>
    <x v="5"/>
  </r>
  <r>
    <n v="451"/>
    <s v="spin_pesto_s"/>
    <s v="Lauren Robinson"/>
    <n v="1"/>
    <x v="236"/>
    <x v="438"/>
    <n v="12.5"/>
    <n v="12.5"/>
    <x v="3"/>
    <x v="2"/>
    <s v="Spinach, Artichokes, Tomatoes, Sun-dried Tomatoes, Garlic, Pesto Sauce"/>
    <x v="23"/>
  </r>
  <r>
    <n v="452"/>
    <s v="hawaiian_s"/>
    <s v="Alexis Hill"/>
    <n v="1"/>
    <x v="237"/>
    <x v="439"/>
    <n v="10.5"/>
    <n v="10.5"/>
    <x v="3"/>
    <x v="0"/>
    <s v="Sliced Ham, Pineapple, Mozzarella Cheese"/>
    <x v="18"/>
  </r>
  <r>
    <n v="453"/>
    <s v="cali_ckn_m"/>
    <s v="Jennifer Taylor"/>
    <n v="1"/>
    <x v="238"/>
    <x v="440"/>
    <n v="16.75"/>
    <n v="16.75"/>
    <x v="0"/>
    <x v="1"/>
    <s v="Chicken, Artichoke, Spinach, Garlic, Jalapeno Peppers, Fontina Cheese, Gouda Cheese"/>
    <x v="1"/>
  </r>
  <r>
    <n v="454"/>
    <s v="spinach_fet_m"/>
    <s v="Victoria Martinez"/>
    <n v="1"/>
    <x v="239"/>
    <x v="441"/>
    <n v="16"/>
    <n v="16"/>
    <x v="0"/>
    <x v="2"/>
    <s v="Spinach, Mushrooms, Red Onions, Feta Cheese, Garlic"/>
    <x v="28"/>
  </r>
  <r>
    <n v="455"/>
    <s v="ital_veggie_m"/>
    <s v="William Johnson"/>
    <n v="1"/>
    <x v="239"/>
    <x v="442"/>
    <n v="16.75"/>
    <n v="16.75"/>
    <x v="0"/>
    <x v="2"/>
    <s v="Eggplant, Artichokes, Tomatoes, Zucchini, Red Peppers, Garlic, Pesto Sauce"/>
    <x v="11"/>
  </r>
  <r>
    <n v="456"/>
    <s v="mediterraneo_s"/>
    <s v="Tyler Wright"/>
    <n v="1"/>
    <x v="240"/>
    <x v="443"/>
    <n v="12"/>
    <n v="12"/>
    <x v="3"/>
    <x v="2"/>
    <s v="Spinach, Artichokes, Kalamata Olives, Sun-dried Tomatoes, Feta Cheese, Plum Tomatoes, Red Onions"/>
    <x v="16"/>
  </r>
  <r>
    <n v="457"/>
    <s v="veggie_veg_s"/>
    <s v="Rachel Torres"/>
    <n v="1"/>
    <x v="241"/>
    <x v="444"/>
    <n v="12"/>
    <n v="12"/>
    <x v="3"/>
    <x v="2"/>
    <s v="Mushrooms, Tomatoes, Red Peppers, Green Peppers, Red Onions, Zucchini, Spinach, Garlic"/>
    <x v="19"/>
  </r>
  <r>
    <n v="458"/>
    <s v="five_cheese_l"/>
    <s v="Robert Lopez"/>
    <n v="1"/>
    <x v="242"/>
    <x v="445"/>
    <n v="18.5"/>
    <n v="18.5"/>
    <x v="1"/>
    <x v="2"/>
    <s v="Mozzarella Cheese, Provolone Cheese, Smoked Gouda Cheese, Romano Cheese, Blue Cheese, Garlic"/>
    <x v="2"/>
  </r>
  <r>
    <n v="459"/>
    <s v="big_meat_s"/>
    <s v="Brianna Turner"/>
    <n v="1"/>
    <x v="242"/>
    <x v="446"/>
    <n v="12"/>
    <n v="12"/>
    <x v="3"/>
    <x v="0"/>
    <s v="Bacon, Pepperoni, Italian Sausage, Chorizo Sausage"/>
    <x v="24"/>
  </r>
  <r>
    <n v="460"/>
    <s v="ckn_pesto_s"/>
    <s v="Andrew King"/>
    <n v="1"/>
    <x v="242"/>
    <x v="447"/>
    <n v="12.75"/>
    <n v="12.75"/>
    <x v="3"/>
    <x v="1"/>
    <s v="Chicken, Tomatoes, Red Peppers, Spinach, Garlic, Pesto Sauce"/>
    <x v="21"/>
  </r>
  <r>
    <n v="461"/>
    <s v="spinach_fet_l"/>
    <s v="Matthew King"/>
    <n v="1"/>
    <x v="243"/>
    <x v="448"/>
    <n v="20.25"/>
    <n v="20.25"/>
    <x v="1"/>
    <x v="2"/>
    <s v="Spinach, Mushrooms, Red Onions, Feta Cheese, Garlic"/>
    <x v="28"/>
  </r>
  <r>
    <n v="462"/>
    <s v="veggie_veg_l"/>
    <s v="Daniel Phillips"/>
    <n v="1"/>
    <x v="243"/>
    <x v="449"/>
    <n v="20.25"/>
    <n v="20.25"/>
    <x v="1"/>
    <x v="2"/>
    <s v="Mushrooms, Tomatoes, Red Peppers, Green Peppers, Red Onions, Zucchini, Spinach, Garlic"/>
    <x v="19"/>
  </r>
  <r>
    <n v="463"/>
    <s v="bbq_ckn_s"/>
    <s v="Andrew Moore"/>
    <n v="1"/>
    <x v="244"/>
    <x v="450"/>
    <n v="12.75"/>
    <n v="12.75"/>
    <x v="3"/>
    <x v="1"/>
    <s v="Barbecued Chicken, Red Peppers, Green Peppers, Tomatoes, Red Onions, Barbecue Sauce"/>
    <x v="13"/>
  </r>
  <r>
    <n v="464"/>
    <s v="thai_ckn_m"/>
    <s v="Lauren Brown"/>
    <n v="1"/>
    <x v="244"/>
    <x v="451"/>
    <n v="16.75"/>
    <n v="16.75"/>
    <x v="0"/>
    <x v="1"/>
    <s v="Chicken, Pineapple, Tomatoes, Red Peppers, Thai Sweet Chilli Sauce"/>
    <x v="17"/>
  </r>
  <r>
    <n v="465"/>
    <s v="ital_cpcllo_l"/>
    <s v="Jessica King"/>
    <n v="1"/>
    <x v="245"/>
    <x v="452"/>
    <n v="20.5"/>
    <n v="20.5"/>
    <x v="1"/>
    <x v="0"/>
    <s v="Capocollo, Red Peppers, Tomatoes, Goat Cheese, Garlic, Oregano"/>
    <x v="25"/>
  </r>
  <r>
    <n v="466"/>
    <s v="spicy_ital_l"/>
    <s v="Sarah Clark"/>
    <n v="1"/>
    <x v="245"/>
    <x v="453"/>
    <n v="20.75"/>
    <n v="20.75"/>
    <x v="1"/>
    <x v="3"/>
    <s v="Capocollo, Tomatoes, Goat Cheese, Artichokes, Peperoncini verdi, Garlic"/>
    <x v="10"/>
  </r>
  <r>
    <n v="467"/>
    <s v="classic_dlx_s"/>
    <s v="Brandon Allen"/>
    <n v="1"/>
    <x v="246"/>
    <x v="454"/>
    <n v="12"/>
    <n v="12"/>
    <x v="3"/>
    <x v="0"/>
    <s v="Pepperoni, Mushrooms, Red Onions, Red Peppers, Bacon"/>
    <x v="0"/>
  </r>
  <r>
    <n v="468"/>
    <s v="ital_cpcllo_s"/>
    <s v="Sophia Moore"/>
    <n v="1"/>
    <x v="246"/>
    <x v="455"/>
    <n v="12"/>
    <n v="12"/>
    <x v="3"/>
    <x v="0"/>
    <s v="Capocollo, Red Peppers, Tomatoes, Goat Cheese, Garlic, Oregano"/>
    <x v="25"/>
  </r>
  <r>
    <n v="469"/>
    <s v="thai_ckn_m"/>
    <s v="Elizabeth Hill"/>
    <n v="1"/>
    <x v="246"/>
    <x v="456"/>
    <n v="16.75"/>
    <n v="16.75"/>
    <x v="0"/>
    <x v="1"/>
    <s v="Chicken, Pineapple, Tomatoes, Red Peppers, Thai Sweet Chilli Sauce"/>
    <x v="17"/>
  </r>
  <r>
    <n v="470"/>
    <s v="hawaiian_s"/>
    <s v="Matthew Ramirez"/>
    <n v="1"/>
    <x v="247"/>
    <x v="457"/>
    <n v="10.5"/>
    <n v="10.5"/>
    <x v="3"/>
    <x v="0"/>
    <s v="Sliced Ham, Pineapple, Mozzarella Cheese"/>
    <x v="18"/>
  </r>
  <r>
    <n v="471"/>
    <s v="calabrese_l"/>
    <s v="Michael Johnson"/>
    <n v="1"/>
    <x v="247"/>
    <x v="458"/>
    <n v="20.25"/>
    <n v="20.25"/>
    <x v="1"/>
    <x v="3"/>
    <s v="慛duja Salami, Pancetta, Tomatoes, Red Onions, Friggitello Peppers, Garlic"/>
    <x v="22"/>
  </r>
  <r>
    <n v="472"/>
    <s v="pep_msh_pep_s"/>
    <s v="Rachel Evans"/>
    <n v="1"/>
    <x v="248"/>
    <x v="459"/>
    <n v="11"/>
    <n v="11"/>
    <x v="3"/>
    <x v="0"/>
    <s v="Pepperoni, Mushrooms, Green Peppers"/>
    <x v="30"/>
  </r>
  <r>
    <n v="473"/>
    <s v="mediterraneo_l"/>
    <s v="Olivia Martinez"/>
    <n v="1"/>
    <x v="249"/>
    <x v="460"/>
    <n v="20.25"/>
    <n v="20.25"/>
    <x v="1"/>
    <x v="2"/>
    <s v="Spinach, Artichokes, Kalamata Olives, Sun-dried Tomatoes, Feta Cheese, Plum Tomatoes, Red Onions"/>
    <x v="16"/>
  </r>
  <r>
    <n v="474"/>
    <s v="spinach_supr_s"/>
    <s v="Joshua Phillips"/>
    <n v="1"/>
    <x v="249"/>
    <x v="460"/>
    <n v="12.5"/>
    <n v="12.5"/>
    <x v="3"/>
    <x v="3"/>
    <s v="Spinach, Red Onions, Pepperoni, Tomatoes, Artichokes, Kalamata Olives, Garlic, Asiago Cheese"/>
    <x v="29"/>
  </r>
  <r>
    <n v="475"/>
    <s v="ital_veggie_m"/>
    <s v="Linda Hernandez"/>
    <n v="1"/>
    <x v="249"/>
    <x v="461"/>
    <n v="16.75"/>
    <n v="16.75"/>
    <x v="0"/>
    <x v="2"/>
    <s v="Eggplant, Artichokes, Tomatoes, Zucchini, Red Peppers, Garlic, Pesto Sauce"/>
    <x v="11"/>
  </r>
  <r>
    <n v="476"/>
    <s v="peppr_salami_m"/>
    <s v="Linda Parker"/>
    <n v="1"/>
    <x v="250"/>
    <x v="462"/>
    <n v="16.5"/>
    <n v="16.5"/>
    <x v="0"/>
    <x v="3"/>
    <s v="Genoa Salami, Capocollo, Pepperoni, Tomatoes, Asiago Cheese, Garlic"/>
    <x v="14"/>
  </r>
  <r>
    <n v="477"/>
    <s v="ital_veggie_m"/>
    <s v="Tyler Robinson"/>
    <n v="1"/>
    <x v="250"/>
    <x v="463"/>
    <n v="16.75"/>
    <n v="16.75"/>
    <x v="0"/>
    <x v="2"/>
    <s v="Eggplant, Artichokes, Tomatoes, Zucchini, Red Peppers, Garlic, Pesto Sauce"/>
    <x v="11"/>
  </r>
  <r>
    <n v="478"/>
    <s v="brie_carre_s"/>
    <s v="Joseph Collins"/>
    <n v="1"/>
    <x v="251"/>
    <x v="464"/>
    <n v="23.65"/>
    <n v="23.65"/>
    <x v="3"/>
    <x v="3"/>
    <s v="Brie Carre Cheese, Prosciutto, Caramelized Onions, Pears, Thyme, Garlic"/>
    <x v="31"/>
  </r>
  <r>
    <n v="479"/>
    <s v="green_garden_m"/>
    <s v="Kayla Jackson"/>
    <n v="1"/>
    <x v="252"/>
    <x v="465"/>
    <n v="16"/>
    <n v="16"/>
    <x v="0"/>
    <x v="2"/>
    <s v="Spinach, Mushrooms, Tomatoes, Green Olives, Feta Cheese"/>
    <x v="27"/>
  </r>
  <r>
    <n v="480"/>
    <s v="spicy_ital_l"/>
    <s v="William Williams"/>
    <n v="1"/>
    <x v="252"/>
    <x v="466"/>
    <n v="20.75"/>
    <n v="20.75"/>
    <x v="1"/>
    <x v="3"/>
    <s v="Capocollo, Tomatoes, Goat Cheese, Artichokes, Peperoncini verdi, Garlic"/>
    <x v="10"/>
  </r>
  <r>
    <n v="481"/>
    <s v="soppressata_l"/>
    <s v="David Williams"/>
    <n v="1"/>
    <x v="253"/>
    <x v="467"/>
    <n v="20.75"/>
    <n v="20.75"/>
    <x v="1"/>
    <x v="3"/>
    <s v="Soppressata Salami, Fontina Cheese, Mozzarella Cheese, Mushrooms, Garlic"/>
    <x v="3"/>
  </r>
  <r>
    <n v="482"/>
    <s v="big_meat_s"/>
    <s v="Emily Jones"/>
    <n v="1"/>
    <x v="254"/>
    <x v="468"/>
    <n v="12"/>
    <n v="12"/>
    <x v="3"/>
    <x v="0"/>
    <s v="Bacon, Pepperoni, Italian Sausage, Chorizo Sausage"/>
    <x v="24"/>
  </r>
  <r>
    <n v="483"/>
    <s v="soppressata_s"/>
    <s v="Jessica Lee"/>
    <n v="1"/>
    <x v="254"/>
    <x v="469"/>
    <n v="12.5"/>
    <n v="12.5"/>
    <x v="3"/>
    <x v="3"/>
    <s v="Soppressata Salami, Fontina Cheese, Mozzarella Cheese, Mushrooms, Garlic"/>
    <x v="3"/>
  </r>
  <r>
    <n v="484"/>
    <s v="ckn_pesto_m"/>
    <s v="Nicholas Moore"/>
    <n v="1"/>
    <x v="254"/>
    <x v="470"/>
    <n v="16.75"/>
    <n v="16.75"/>
    <x v="0"/>
    <x v="1"/>
    <s v="Chicken, Tomatoes, Red Peppers, Spinach, Garlic, Pesto Sauce"/>
    <x v="21"/>
  </r>
  <r>
    <n v="485"/>
    <s v="big_meat_s"/>
    <s v="Amanda Thompson"/>
    <n v="1"/>
    <x v="255"/>
    <x v="471"/>
    <n v="12"/>
    <n v="12"/>
    <x v="3"/>
    <x v="0"/>
    <s v="Bacon, Pepperoni, Italian Sausage, Chorizo Sausage"/>
    <x v="24"/>
  </r>
  <r>
    <n v="486"/>
    <s v="four_cheese_m"/>
    <s v="Zachary Lee"/>
    <n v="1"/>
    <x v="255"/>
    <x v="472"/>
    <n v="14.75"/>
    <n v="14.75"/>
    <x v="0"/>
    <x v="2"/>
    <s v="Ricotta Cheese, Gorgonzola Piccante Cheese, Mozzarella Cheese, Parmigiano Reggiano Cheese, Garlic"/>
    <x v="9"/>
  </r>
  <r>
    <n v="487"/>
    <s v="southw_ckn_m"/>
    <s v="Ashley Roberts"/>
    <n v="1"/>
    <x v="256"/>
    <x v="473"/>
    <n v="16.75"/>
    <n v="16.75"/>
    <x v="0"/>
    <x v="1"/>
    <s v="Chicken, Tomatoes, Red Peppers, Red Onions, Jalapeno Peppers, Corn, Cilantro, Chipotle Sauce"/>
    <x v="15"/>
  </r>
  <r>
    <n v="488"/>
    <s v="napolitana_m"/>
    <s v="Jennifer Lee"/>
    <n v="1"/>
    <x v="257"/>
    <x v="474"/>
    <n v="16"/>
    <n v="16"/>
    <x v="0"/>
    <x v="0"/>
    <s v="Tomatoes, Anchovies, Green Olives, Red Onions, Garlic"/>
    <x v="26"/>
  </r>
  <r>
    <n v="489"/>
    <s v="prsc_argla_m"/>
    <s v="Taylor Hernandez"/>
    <n v="1"/>
    <x v="257"/>
    <x v="475"/>
    <n v="16.5"/>
    <n v="16.5"/>
    <x v="0"/>
    <x v="3"/>
    <s v="Prosciutto di San Daniele, Arugula, Mozzarella Cheese"/>
    <x v="6"/>
  </r>
  <r>
    <n v="490"/>
    <s v="classic_dlx_l"/>
    <s v="Elizabeth Gonzalez"/>
    <n v="1"/>
    <x v="257"/>
    <x v="476"/>
    <n v="20.5"/>
    <n v="20.5"/>
    <x v="1"/>
    <x v="0"/>
    <s v="Pepperoni, Mushrooms, Red Onions, Red Peppers, Bacon"/>
    <x v="0"/>
  </r>
  <r>
    <n v="491"/>
    <s v="mexicana_l"/>
    <s v="Logan Baker"/>
    <n v="1"/>
    <x v="257"/>
    <x v="477"/>
    <n v="20.25"/>
    <n v="20.25"/>
    <x v="1"/>
    <x v="2"/>
    <s v="Tomatoes, Red Peppers, Jalapeno Peppers, Red Onions, Cilantro, Corn, Chipotle Sauce, Garlic"/>
    <x v="8"/>
  </r>
  <r>
    <n v="492"/>
    <s v="pep_msh_pep_l"/>
    <s v="Linda Martinez"/>
    <n v="1"/>
    <x v="258"/>
    <x v="478"/>
    <n v="17.5"/>
    <n v="17.5"/>
    <x v="1"/>
    <x v="0"/>
    <s v="Pepperoni, Mushrooms, Green Peppers"/>
    <x v="30"/>
  </r>
  <r>
    <n v="493"/>
    <s v="five_cheese_l"/>
    <s v="Rachel White"/>
    <n v="1"/>
    <x v="259"/>
    <x v="479"/>
    <n v="18.5"/>
    <n v="18.5"/>
    <x v="1"/>
    <x v="2"/>
    <s v="Mozzarella Cheese, Provolone Cheese, Smoked Gouda Cheese, Romano Cheese, Blue Cheese, Garlic"/>
    <x v="2"/>
  </r>
  <r>
    <n v="494"/>
    <s v="ital_supr_l"/>
    <s v="Robert Evans"/>
    <n v="1"/>
    <x v="260"/>
    <x v="480"/>
    <n v="20.75"/>
    <n v="20.75"/>
    <x v="1"/>
    <x v="3"/>
    <s v="Calabrese Salami, Capocollo, Tomatoes, Red Onions, Green Olives, Garlic"/>
    <x v="7"/>
  </r>
  <r>
    <n v="495"/>
    <s v="pepperoni_l"/>
    <s v="Tyler Adams"/>
    <n v="1"/>
    <x v="260"/>
    <x v="481"/>
    <n v="15.25"/>
    <n v="15.25"/>
    <x v="1"/>
    <x v="0"/>
    <s v="Mozzarella Cheese, Pepperoni"/>
    <x v="5"/>
  </r>
  <r>
    <n v="496"/>
    <s v="napolitana_s"/>
    <s v="Kayla Evans"/>
    <n v="1"/>
    <x v="260"/>
    <x v="482"/>
    <n v="12"/>
    <n v="12"/>
    <x v="3"/>
    <x v="0"/>
    <s v="Tomatoes, Anchovies, Green Olives, Red Onions, Garlic"/>
    <x v="26"/>
  </r>
  <r>
    <n v="497"/>
    <s v="classic_dlx_s"/>
    <s v="Ethan Robinson"/>
    <n v="1"/>
    <x v="260"/>
    <x v="483"/>
    <n v="12"/>
    <n v="12"/>
    <x v="3"/>
    <x v="0"/>
    <s v="Pepperoni, Mushrooms, Red Onions, Red Peppers, Bacon"/>
    <x v="0"/>
  </r>
  <r>
    <n v="498"/>
    <s v="pep_msh_pep_m"/>
    <s v="Jessica Walker"/>
    <n v="1"/>
    <x v="260"/>
    <x v="101"/>
    <n v="14.5"/>
    <n v="14.5"/>
    <x v="0"/>
    <x v="0"/>
    <s v="Pepperoni, Mushrooms, Green Peppers"/>
    <x v="30"/>
  </r>
  <r>
    <n v="499"/>
    <s v="hawaiian_s"/>
    <s v="Courtney Young"/>
    <n v="1"/>
    <x v="260"/>
    <x v="484"/>
    <n v="10.5"/>
    <n v="10.5"/>
    <x v="3"/>
    <x v="0"/>
    <s v="Sliced Ham, Pineapple, Mozzarella Cheese"/>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0BE5F0-DEF7-43BB-B29D-53F2989B668E}"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4" showAll="0"/>
    <pivotField numFmtId="164"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2"/>
    </i>
    <i>
      <x v="1"/>
    </i>
    <i>
      <x v="3"/>
    </i>
    <i t="grand">
      <x/>
    </i>
  </rowItems>
  <colItems count="1">
    <i/>
  </colItems>
  <dataFields count="1">
    <dataField name="Count of order_id (رقم الطلب)" fld="0" subtotal="count" baseField="8"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 chart="4" format="13">
      <pivotArea type="data" outline="0" fieldPosition="0">
        <references count="2">
          <reference field="4294967294" count="1" selected="0">
            <x v="0"/>
          </reference>
          <reference field="8" count="1" selected="0">
            <x v="1"/>
          </reference>
        </references>
      </pivotArea>
    </chartFormat>
    <chartFormat chart="4" format="14">
      <pivotArea type="data" outline="0" fieldPosition="0">
        <references count="2">
          <reference field="4294967294" count="1" selected="0">
            <x v="0"/>
          </reference>
          <reference field="8"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F5E777-94D3-4D17-B324-1897AAD712CA}"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P1:Q14" firstHeaderRow="1" firstDataRow="1" firstDataCol="1"/>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4" showAll="0"/>
    <pivotField numFmtId="164"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13">
    <i>
      <x v="1"/>
    </i>
    <i>
      <x v="2"/>
    </i>
    <i>
      <x v="3"/>
    </i>
    <i>
      <x v="4"/>
    </i>
    <i>
      <x v="5"/>
    </i>
    <i>
      <x v="6"/>
    </i>
    <i>
      <x v="7"/>
    </i>
    <i>
      <x v="8"/>
    </i>
    <i>
      <x v="9"/>
    </i>
    <i>
      <x v="10"/>
    </i>
    <i>
      <x v="11"/>
    </i>
    <i>
      <x v="12"/>
    </i>
    <i t="grand">
      <x/>
    </i>
  </rowItems>
  <colItems count="1">
    <i/>
  </colItems>
  <dataFields count="1">
    <dataField name="Count of order_id (رقم الطلب)" fld="0" subtotal="count"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1A734D-4167-4D42-8E66-2652F0DEFF7D}"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M14" firstHeaderRow="1" firstDataRow="1" firstDataCol="1"/>
  <pivotFields count="17">
    <pivotField showAll="0"/>
    <pivotField showAll="0"/>
    <pivotField showAll="0"/>
    <pivotField dataField="1"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4" showAll="0"/>
    <pivotField numFmtId="164" showAll="0"/>
    <pivotField showAll="0">
      <items count="5">
        <item x="1"/>
        <item x="0"/>
        <item x="3"/>
        <item x="2"/>
        <item t="default"/>
      </items>
    </pivotField>
    <pivotField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3">
    <i>
      <x v="10"/>
    </i>
    <i>
      <x v="17"/>
    </i>
    <i>
      <x v="25"/>
    </i>
    <i>
      <x v="19"/>
    </i>
    <i>
      <x v="12"/>
    </i>
    <i>
      <x/>
    </i>
    <i>
      <x v="30"/>
    </i>
    <i>
      <x v="23"/>
    </i>
    <i>
      <x v="1"/>
    </i>
    <i>
      <x v="9"/>
    </i>
    <i>
      <x v="20"/>
    </i>
    <i>
      <x v="7"/>
    </i>
    <i t="grand">
      <x/>
    </i>
  </rowItems>
  <colItems count="1">
    <i/>
  </colItems>
  <dataFields count="1">
    <dataField name="Sum of quantity (الكمية)" fld="3"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7"/>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7"/>
          </reference>
        </references>
      </pivotArea>
    </chartFormat>
  </chartFormats>
  <pivotTableStyleInfo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30BAD9-223A-4D9E-89E9-5AD0D8F2602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I6" firstHeaderRow="1" firstDataRow="1" firstDataCol="1"/>
  <pivotFields count="17">
    <pivotField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4" showAll="0"/>
    <pivotField dataField="1" numFmtId="164" showAll="0"/>
    <pivotField showAll="0">
      <items count="5">
        <item x="1"/>
        <item x="0"/>
        <item x="3"/>
        <item x="2"/>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5">
    <i>
      <x v="3"/>
    </i>
    <i>
      <x v="1"/>
    </i>
    <i>
      <x v="2"/>
    </i>
    <i>
      <x/>
    </i>
    <i t="grand">
      <x/>
    </i>
  </rowItems>
  <colItems count="1">
    <i/>
  </colItems>
  <dataFields count="1">
    <dataField name="Sum of Sales" fld="7" showDataAs="percentOfTotal" baseField="0" baseItem="0" numFmtId="9"/>
  </dataFields>
  <formats count="1">
    <format dxfId="0">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 chart="2" format="9">
      <pivotArea type="data" outline="0" fieldPosition="0">
        <references count="2">
          <reference field="4294967294" count="1" selected="0">
            <x v="0"/>
          </reference>
          <reference field="9" count="1" selected="0">
            <x v="0"/>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1"/>
          </reference>
        </references>
      </pivotArea>
    </chartFormat>
    <chartFormat chart="3" format="13">
      <pivotArea type="data" outline="0" fieldPosition="0">
        <references count="2">
          <reference field="4294967294" count="1" selected="0">
            <x v="0"/>
          </reference>
          <reference field="9" count="1" selected="0">
            <x v="2"/>
          </reference>
        </references>
      </pivotArea>
    </chartFormat>
    <chartFormat chart="3" format="14">
      <pivotArea type="data" outline="0" fieldPosition="0">
        <references count="2">
          <reference field="4294967294" count="1" selected="0">
            <x v="0"/>
          </reference>
          <reference field="9"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1D200-7F40-4789-95F6-A7187DE16B0B}"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7" firstHeaderRow="1" firstDataRow="1" firstDataCol="1"/>
  <pivotFields count="17">
    <pivotField dataField="1" showAll="0"/>
    <pivotField showAll="0"/>
    <pivotField showAll="0"/>
    <pivotField numFmtId="3"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numFmtId="164" showAll="0"/>
    <pivotField numFmtId="164" showAll="0"/>
    <pivotField showAll="0">
      <items count="5">
        <item x="1"/>
        <item x="0"/>
        <item x="3"/>
        <item x="2"/>
        <item t="default"/>
      </items>
    </pivotField>
    <pivotField showAll="0">
      <items count="5">
        <item x="1"/>
        <item x="0"/>
        <item x="3"/>
        <item x="2"/>
        <item t="default"/>
      </items>
    </pivotField>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measureFilter="1" sortType="descending">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6">
    <i>
      <x v="18"/>
    </i>
    <i>
      <x v="14"/>
    </i>
    <i>
      <x v="19"/>
    </i>
    <i>
      <x v="13"/>
    </i>
    <i>
      <x v="20"/>
    </i>
    <i t="grand">
      <x/>
    </i>
  </rowItems>
  <colItems count="1">
    <i/>
  </colItems>
  <dataFields count="1">
    <dataField name="Count of order_id (رقم الطلب)" fld="0" subtotal="count" baseField="8"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090BDD93-04A7-4A8E-A913-7C3E26880E1F}" sourceName="pizza_size (حجم البيتزا)">
  <pivotTables>
    <pivotTable tabId="2" name="PivotTable4"/>
    <pivotTable tabId="2" name="PivotTable5"/>
    <pivotTable tabId="2" name="PivotTable6"/>
    <pivotTable tabId="2" name="PivotTable7"/>
    <pivotTable tabId="2" name="PivotTable8"/>
  </pivotTables>
  <data>
    <tabular pivotCacheId="6264649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BCEEE24D-9808-4EEA-BD1E-EFD2BD24D94A}" sourceName="pizza_category (فئة البيتزا)">
  <pivotTables>
    <pivotTable tabId="2" name="PivotTable6"/>
    <pivotTable tabId="2" name="PivotTable4"/>
    <pivotTable tabId="2" name="PivotTable5"/>
    <pivotTable tabId="2" name="PivotTable7"/>
    <pivotTable tabId="2" name="PivotTable8"/>
  </pivotTables>
  <data>
    <tabular pivotCacheId="6264649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size" xr10:uid="{B6B65BB7-A8AB-4366-AF42-D2B791CF9DB8}" cache="Slicer_pizza_size__حجم_البيتزا" caption="pizza_size" style="SlicerStyleLight2" rowHeight="251883"/>
  <slicer name="pizza_category" xr10:uid="{3FBCBDC1-F5B2-4E5B-8342-93BE98922689}" cache="Slicer_pizza_category__فئة_البيتزا" caption="pizza_category"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27FAAA-2C85-4E1B-B9D3-80A3E0D78AF9}" name="Table1" displayName="Table1" ref="A1:L500" totalsRowShown="0" headerRowDxfId="14" dataDxfId="13">
  <tableColumns count="12">
    <tableColumn id="1" xr3:uid="{22DED16C-C0D0-45EF-9B14-2F9AC4A44E47}" name="order_id (رقم الطلب)" dataDxfId="12"/>
    <tableColumn id="2" xr3:uid="{560638CC-CCBA-413F-B431-12F521B55CA8}" name="pizza_id (رقم البيتزا)" dataDxfId="11"/>
    <tableColumn id="3" xr3:uid="{60C3C3F2-1057-452C-8959-C61630C13CD6}" name="Customer Name (اسم العميل)" dataDxfId="10"/>
    <tableColumn id="4" xr3:uid="{6824A37D-9981-4BB0-9B46-4AC5559933DB}" name="quantity (الكمية)" dataDxfId="9"/>
    <tableColumn id="5" xr3:uid="{D270AD48-926A-46BC-AE88-6BFCDB72AE55}" name="order_date (تاريخ الطلب)" dataDxfId="8"/>
    <tableColumn id="6" xr3:uid="{80462803-3A39-440F-8D78-A82BEC317961}" name="order_time (وقت الطلب)" dataDxfId="7"/>
    <tableColumn id="7" xr3:uid="{CB97A5E3-C4DD-4FEB-BDEF-984577D2E2FF}" name="unit_price (سعر الوحدة)" dataDxfId="6" dataCellStyle="Currency"/>
    <tableColumn id="8" xr3:uid="{7CAB68F9-BCF5-4D6B-8F0A-D6F53F3A531A}" name="Sales" dataDxfId="5" dataCellStyle="Currency">
      <calculatedColumnFormula>G2*D2</calculatedColumnFormula>
    </tableColumn>
    <tableColumn id="9" xr3:uid="{71E8EE33-0494-4D50-90F5-7B4EC5A9B116}" name="pizza_size (حجم البيتزا)" dataDxfId="4"/>
    <tableColumn id="10" xr3:uid="{575FDDC1-BB37-476C-80F7-9070CFE91F46}" name="pizza_category (فئة البيتزا)" dataDxfId="3"/>
    <tableColumn id="11" xr3:uid="{BEBB1163-93C3-4E5D-9DC2-2A6DC9D0E848}" name="pizza_ingredients (مكونات البيتزا)" dataDxfId="2"/>
    <tableColumn id="12" xr3:uid="{4B2A624D-FD80-44BF-9864-F25D50FB0B80}" name="pizza_name (اسم البيتزا)"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A582989B-BB1F-4F1C-8A80-C0B3C832F127}" sourceName="order_date (تاريخ الطلب)">
  <pivotTables>
    <pivotTable tabId="2" name="PivotTable8"/>
  </pivotTables>
  <state minimalRefreshVersion="6" lastRefreshVersion="6" pivotCacheId="62646492"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EDB3B023-59A1-4FE4-B5A2-0B885972BB36}" cache="NativeTimeline_order_date__تاريخ_الطلب" caption="order_date (تاريخ الطلب)" level="2" selectionLevel="2" scrollPosition="2015-05-19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B1BEB-FCE1-47C5-A617-C0FE4EF5FE38}">
  <dimension ref="A1:L500"/>
  <sheetViews>
    <sheetView workbookViewId="0"/>
  </sheetViews>
  <sheetFormatPr defaultRowHeight="14.5" x14ac:dyDescent="0.35"/>
  <cols>
    <col min="1" max="1" width="21.54296875" style="3" bestFit="1" customWidth="1"/>
    <col min="2" max="2" width="20.08984375" style="3" bestFit="1" customWidth="1"/>
    <col min="3" max="3" width="29.1796875" style="3" bestFit="1" customWidth="1"/>
    <col min="4" max="4" width="17.6328125" style="4" bestFit="1" customWidth="1"/>
    <col min="5" max="5" width="25.6328125" style="5" bestFit="1" customWidth="1"/>
    <col min="6" max="6" width="25.08984375" style="3" bestFit="1" customWidth="1"/>
    <col min="7" max="7" width="24.81640625" style="7" customWidth="1"/>
    <col min="8" max="8" width="24.08984375" style="7" customWidth="1"/>
    <col min="9" max="9" width="23.1796875" style="3" bestFit="1" customWidth="1"/>
    <col min="10" max="10" width="26.08984375" style="3" bestFit="1" customWidth="1"/>
    <col min="11" max="11" width="85" style="3" bestFit="1" customWidth="1"/>
    <col min="12" max="12" width="38.453125" style="3" bestFit="1" customWidth="1"/>
    <col min="14" max="14" width="25.54296875" bestFit="1" customWidth="1"/>
  </cols>
  <sheetData>
    <row r="1" spans="1:12" ht="16" x14ac:dyDescent="0.4">
      <c r="A1" s="1" t="s">
        <v>0</v>
      </c>
      <c r="B1" s="1" t="s">
        <v>1</v>
      </c>
      <c r="C1" s="1" t="s">
        <v>2</v>
      </c>
      <c r="D1" s="1" t="s">
        <v>3</v>
      </c>
      <c r="E1" s="1" t="s">
        <v>4</v>
      </c>
      <c r="F1" s="1" t="s">
        <v>5</v>
      </c>
      <c r="G1" s="2" t="s">
        <v>6</v>
      </c>
      <c r="H1" s="2" t="s">
        <v>7</v>
      </c>
      <c r="I1" s="1" t="s">
        <v>8</v>
      </c>
      <c r="J1" s="1" t="s">
        <v>9</v>
      </c>
      <c r="K1" s="1" t="s">
        <v>10</v>
      </c>
      <c r="L1" s="1" t="s">
        <v>11</v>
      </c>
    </row>
    <row r="2" spans="1:12" x14ac:dyDescent="0.35">
      <c r="A2" s="3">
        <v>1</v>
      </c>
      <c r="B2" s="3" t="s">
        <v>12</v>
      </c>
      <c r="C2" s="3" t="s">
        <v>13</v>
      </c>
      <c r="D2" s="4">
        <v>1</v>
      </c>
      <c r="E2" s="5">
        <v>42005</v>
      </c>
      <c r="F2" s="6">
        <v>0.49837962962962962</v>
      </c>
      <c r="G2" s="7">
        <v>16</v>
      </c>
      <c r="H2" s="7">
        <f>G2*D2</f>
        <v>16</v>
      </c>
      <c r="I2" s="3" t="s">
        <v>14</v>
      </c>
      <c r="J2" s="3" t="s">
        <v>15</v>
      </c>
      <c r="K2" s="3" t="s">
        <v>16</v>
      </c>
      <c r="L2" s="3" t="s">
        <v>17</v>
      </c>
    </row>
    <row r="3" spans="1:12" x14ac:dyDescent="0.35">
      <c r="A3" s="3">
        <v>2</v>
      </c>
      <c r="B3" s="3" t="s">
        <v>18</v>
      </c>
      <c r="C3" s="3" t="s">
        <v>19</v>
      </c>
      <c r="D3" s="4">
        <v>1</v>
      </c>
      <c r="E3" s="5">
        <v>42005</v>
      </c>
      <c r="F3" s="6">
        <v>0.54373842592592592</v>
      </c>
      <c r="G3" s="7">
        <v>20.75</v>
      </c>
      <c r="H3" s="7">
        <f t="shared" ref="H3:H66" si="0">G3*D3</f>
        <v>20.75</v>
      </c>
      <c r="I3" s="3" t="s">
        <v>20</v>
      </c>
      <c r="J3" s="3" t="s">
        <v>21</v>
      </c>
      <c r="K3" s="3" t="s">
        <v>22</v>
      </c>
      <c r="L3" s="3" t="s">
        <v>23</v>
      </c>
    </row>
    <row r="4" spans="1:12" x14ac:dyDescent="0.35">
      <c r="A4" s="3">
        <v>3</v>
      </c>
      <c r="B4" s="3" t="s">
        <v>24</v>
      </c>
      <c r="C4" s="3" t="s">
        <v>25</v>
      </c>
      <c r="D4" s="4">
        <v>1</v>
      </c>
      <c r="E4" s="5">
        <v>42005</v>
      </c>
      <c r="F4" s="6">
        <v>0.812962962962963</v>
      </c>
      <c r="G4" s="7">
        <v>18.5</v>
      </c>
      <c r="H4" s="7">
        <f t="shared" si="0"/>
        <v>18.5</v>
      </c>
      <c r="I4" s="3" t="s">
        <v>20</v>
      </c>
      <c r="J4" s="3" t="s">
        <v>26</v>
      </c>
      <c r="K4" s="3" t="s">
        <v>27</v>
      </c>
      <c r="L4" s="3" t="s">
        <v>28</v>
      </c>
    </row>
    <row r="5" spans="1:12" x14ac:dyDescent="0.35">
      <c r="A5" s="3">
        <v>4</v>
      </c>
      <c r="B5" s="3" t="s">
        <v>29</v>
      </c>
      <c r="C5" s="3" t="s">
        <v>30</v>
      </c>
      <c r="D5" s="4">
        <v>1</v>
      </c>
      <c r="E5" s="5">
        <v>42007</v>
      </c>
      <c r="F5" s="6">
        <v>0.90819444444444442</v>
      </c>
      <c r="G5" s="7">
        <v>20.75</v>
      </c>
      <c r="H5" s="7">
        <f t="shared" si="0"/>
        <v>20.75</v>
      </c>
      <c r="I5" s="3" t="s">
        <v>20</v>
      </c>
      <c r="J5" s="3" t="s">
        <v>31</v>
      </c>
      <c r="K5" s="3" t="s">
        <v>32</v>
      </c>
      <c r="L5" s="3" t="s">
        <v>33</v>
      </c>
    </row>
    <row r="6" spans="1:12" x14ac:dyDescent="0.35">
      <c r="A6" s="3">
        <v>5</v>
      </c>
      <c r="B6" s="3" t="s">
        <v>34</v>
      </c>
      <c r="C6" s="3" t="s">
        <v>35</v>
      </c>
      <c r="D6" s="4">
        <v>1</v>
      </c>
      <c r="E6" s="5">
        <v>42010</v>
      </c>
      <c r="F6" s="6">
        <v>0.63780092592592597</v>
      </c>
      <c r="G6" s="7">
        <v>25.5</v>
      </c>
      <c r="H6" s="7">
        <f t="shared" si="0"/>
        <v>25.5</v>
      </c>
      <c r="I6" s="3" t="s">
        <v>36</v>
      </c>
      <c r="J6" s="3" t="s">
        <v>15</v>
      </c>
      <c r="K6" s="3" t="s">
        <v>37</v>
      </c>
      <c r="L6" s="3" t="s">
        <v>38</v>
      </c>
    </row>
    <row r="7" spans="1:12" x14ac:dyDescent="0.35">
      <c r="A7" s="3">
        <v>6</v>
      </c>
      <c r="B7" s="3" t="s">
        <v>39</v>
      </c>
      <c r="C7" s="3" t="s">
        <v>40</v>
      </c>
      <c r="D7" s="4">
        <v>1</v>
      </c>
      <c r="E7" s="5">
        <v>42010</v>
      </c>
      <c r="F7" s="6">
        <v>0.72636574074074067</v>
      </c>
      <c r="G7" s="7">
        <v>15.25</v>
      </c>
      <c r="H7" s="7">
        <f t="shared" si="0"/>
        <v>15.25</v>
      </c>
      <c r="I7" s="3" t="s">
        <v>20</v>
      </c>
      <c r="J7" s="3" t="s">
        <v>15</v>
      </c>
      <c r="K7" s="3" t="s">
        <v>41</v>
      </c>
      <c r="L7" s="3" t="s">
        <v>42</v>
      </c>
    </row>
    <row r="8" spans="1:12" x14ac:dyDescent="0.35">
      <c r="A8" s="3">
        <v>7</v>
      </c>
      <c r="B8" s="3" t="s">
        <v>43</v>
      </c>
      <c r="C8" s="3" t="s">
        <v>44</v>
      </c>
      <c r="D8" s="4">
        <v>1</v>
      </c>
      <c r="E8" s="5">
        <v>42012</v>
      </c>
      <c r="F8" s="6">
        <v>0.64806712962962965</v>
      </c>
      <c r="G8" s="7">
        <v>12.5</v>
      </c>
      <c r="H8" s="7">
        <f t="shared" si="0"/>
        <v>12.5</v>
      </c>
      <c r="I8" s="3" t="s">
        <v>45</v>
      </c>
      <c r="J8" s="3" t="s">
        <v>31</v>
      </c>
      <c r="K8" s="3" t="s">
        <v>46</v>
      </c>
      <c r="L8" s="3" t="s">
        <v>47</v>
      </c>
    </row>
    <row r="9" spans="1:12" x14ac:dyDescent="0.35">
      <c r="A9" s="3">
        <v>8</v>
      </c>
      <c r="B9" s="3" t="s">
        <v>48</v>
      </c>
      <c r="C9" s="3" t="s">
        <v>49</v>
      </c>
      <c r="D9" s="4">
        <v>1</v>
      </c>
      <c r="E9" s="5">
        <v>42014</v>
      </c>
      <c r="F9" s="6">
        <v>0.60646990740740747</v>
      </c>
      <c r="G9" s="7">
        <v>20.75</v>
      </c>
      <c r="H9" s="7">
        <f t="shared" si="0"/>
        <v>20.75</v>
      </c>
      <c r="I9" s="3" t="s">
        <v>20</v>
      </c>
      <c r="J9" s="3" t="s">
        <v>31</v>
      </c>
      <c r="K9" s="3" t="s">
        <v>50</v>
      </c>
      <c r="L9" s="3" t="s">
        <v>51</v>
      </c>
    </row>
    <row r="10" spans="1:12" x14ac:dyDescent="0.35">
      <c r="A10" s="3">
        <v>9</v>
      </c>
      <c r="B10" s="3" t="s">
        <v>52</v>
      </c>
      <c r="C10" s="3" t="s">
        <v>53</v>
      </c>
      <c r="D10" s="4">
        <v>1</v>
      </c>
      <c r="E10" s="5">
        <v>42014</v>
      </c>
      <c r="F10" s="6">
        <v>0.83211805555555562</v>
      </c>
      <c r="G10" s="7">
        <v>12.5</v>
      </c>
      <c r="H10" s="7">
        <f t="shared" si="0"/>
        <v>12.5</v>
      </c>
      <c r="I10" s="3" t="s">
        <v>45</v>
      </c>
      <c r="J10" s="3" t="s">
        <v>31</v>
      </c>
      <c r="K10" s="3" t="s">
        <v>32</v>
      </c>
      <c r="L10" s="3" t="s">
        <v>33</v>
      </c>
    </row>
    <row r="11" spans="1:12" x14ac:dyDescent="0.35">
      <c r="A11" s="3">
        <v>10</v>
      </c>
      <c r="B11" s="3" t="s">
        <v>54</v>
      </c>
      <c r="C11" s="3" t="s">
        <v>55</v>
      </c>
      <c r="D11" s="4">
        <v>1</v>
      </c>
      <c r="E11" s="5">
        <v>42015</v>
      </c>
      <c r="F11" s="6">
        <v>0.8283449074074074</v>
      </c>
      <c r="G11" s="7">
        <v>12</v>
      </c>
      <c r="H11" s="7">
        <f t="shared" si="0"/>
        <v>12</v>
      </c>
      <c r="I11" s="3" t="s">
        <v>45</v>
      </c>
      <c r="J11" s="3" t="s">
        <v>26</v>
      </c>
      <c r="K11" s="3" t="s">
        <v>56</v>
      </c>
      <c r="L11" s="3" t="s">
        <v>57</v>
      </c>
    </row>
    <row r="12" spans="1:12" x14ac:dyDescent="0.35">
      <c r="A12" s="3">
        <v>11</v>
      </c>
      <c r="B12" s="3" t="s">
        <v>58</v>
      </c>
      <c r="C12" s="3" t="s">
        <v>59</v>
      </c>
      <c r="D12" s="4">
        <v>1</v>
      </c>
      <c r="E12" s="5">
        <v>42016</v>
      </c>
      <c r="F12" s="6">
        <v>0.50096064814814811</v>
      </c>
      <c r="G12" s="7">
        <v>17.95</v>
      </c>
      <c r="H12" s="7">
        <f t="shared" si="0"/>
        <v>17.95</v>
      </c>
      <c r="I12" s="3" t="s">
        <v>20</v>
      </c>
      <c r="J12" s="3" t="s">
        <v>26</v>
      </c>
      <c r="K12" s="3" t="s">
        <v>60</v>
      </c>
      <c r="L12" s="3" t="s">
        <v>61</v>
      </c>
    </row>
    <row r="13" spans="1:12" x14ac:dyDescent="0.35">
      <c r="A13" s="3">
        <v>12</v>
      </c>
      <c r="B13" s="3" t="s">
        <v>62</v>
      </c>
      <c r="C13" s="3" t="s">
        <v>63</v>
      </c>
      <c r="D13" s="4">
        <v>1</v>
      </c>
      <c r="E13" s="5">
        <v>42017</v>
      </c>
      <c r="F13" s="6">
        <v>0.5672800925925926</v>
      </c>
      <c r="G13" s="7">
        <v>16</v>
      </c>
      <c r="H13" s="7">
        <f t="shared" si="0"/>
        <v>16</v>
      </c>
      <c r="I13" s="3" t="s">
        <v>14</v>
      </c>
      <c r="J13" s="3" t="s">
        <v>15</v>
      </c>
      <c r="K13" s="3" t="s">
        <v>37</v>
      </c>
      <c r="L13" s="3" t="s">
        <v>38</v>
      </c>
    </row>
    <row r="14" spans="1:12" x14ac:dyDescent="0.35">
      <c r="A14" s="3">
        <v>13</v>
      </c>
      <c r="B14" s="3" t="s">
        <v>24</v>
      </c>
      <c r="C14" s="3" t="s">
        <v>64</v>
      </c>
      <c r="D14" s="4">
        <v>1</v>
      </c>
      <c r="E14" s="5">
        <v>42018</v>
      </c>
      <c r="F14" s="6">
        <v>0.83898148148148144</v>
      </c>
      <c r="G14" s="7">
        <v>18.5</v>
      </c>
      <c r="H14" s="7">
        <f t="shared" si="0"/>
        <v>18.5</v>
      </c>
      <c r="I14" s="3" t="s">
        <v>20</v>
      </c>
      <c r="J14" s="3" t="s">
        <v>26</v>
      </c>
      <c r="K14" s="3" t="s">
        <v>27</v>
      </c>
      <c r="L14" s="3" t="s">
        <v>28</v>
      </c>
    </row>
    <row r="15" spans="1:12" x14ac:dyDescent="0.35">
      <c r="A15" s="3">
        <v>14</v>
      </c>
      <c r="B15" s="3" t="s">
        <v>34</v>
      </c>
      <c r="C15" s="3" t="s">
        <v>65</v>
      </c>
      <c r="D15" s="4">
        <v>1</v>
      </c>
      <c r="E15" s="5">
        <v>42020</v>
      </c>
      <c r="F15" s="6">
        <v>0.52093749999999994</v>
      </c>
      <c r="G15" s="7">
        <v>25.5</v>
      </c>
      <c r="H15" s="7">
        <f t="shared" si="0"/>
        <v>25.5</v>
      </c>
      <c r="I15" s="3" t="s">
        <v>36</v>
      </c>
      <c r="J15" s="3" t="s">
        <v>15</v>
      </c>
      <c r="K15" s="3" t="s">
        <v>37</v>
      </c>
      <c r="L15" s="3" t="s">
        <v>38</v>
      </c>
    </row>
    <row r="16" spans="1:12" x14ac:dyDescent="0.35">
      <c r="A16" s="3">
        <v>15</v>
      </c>
      <c r="B16" s="3" t="s">
        <v>66</v>
      </c>
      <c r="C16" s="3" t="s">
        <v>67</v>
      </c>
      <c r="D16" s="4">
        <v>1</v>
      </c>
      <c r="E16" s="5">
        <v>42020</v>
      </c>
      <c r="F16" s="6">
        <v>0.67707175925925922</v>
      </c>
      <c r="G16" s="7">
        <v>20.75</v>
      </c>
      <c r="H16" s="7">
        <f t="shared" si="0"/>
        <v>20.75</v>
      </c>
      <c r="I16" s="3" t="s">
        <v>20</v>
      </c>
      <c r="J16" s="3" t="s">
        <v>31</v>
      </c>
      <c r="K16" s="3" t="s">
        <v>68</v>
      </c>
      <c r="L16" s="3" t="s">
        <v>69</v>
      </c>
    </row>
    <row r="17" spans="1:12" x14ac:dyDescent="0.35">
      <c r="A17" s="3">
        <v>16</v>
      </c>
      <c r="B17" s="3" t="s">
        <v>70</v>
      </c>
      <c r="C17" s="3" t="s">
        <v>71</v>
      </c>
      <c r="D17" s="4">
        <v>1</v>
      </c>
      <c r="E17" s="5">
        <v>42020</v>
      </c>
      <c r="F17" s="6">
        <v>0.79428240740740741</v>
      </c>
      <c r="G17" s="7">
        <v>16.75</v>
      </c>
      <c r="H17" s="7">
        <f t="shared" si="0"/>
        <v>16.75</v>
      </c>
      <c r="I17" s="3" t="s">
        <v>14</v>
      </c>
      <c r="J17" s="3" t="s">
        <v>26</v>
      </c>
      <c r="K17" s="3" t="s">
        <v>72</v>
      </c>
      <c r="L17" s="3" t="s">
        <v>73</v>
      </c>
    </row>
    <row r="18" spans="1:12" x14ac:dyDescent="0.35">
      <c r="A18" s="3">
        <v>17</v>
      </c>
      <c r="B18" s="3" t="s">
        <v>74</v>
      </c>
      <c r="C18" s="3" t="s">
        <v>75</v>
      </c>
      <c r="D18" s="4">
        <v>1</v>
      </c>
      <c r="E18" s="5">
        <v>42021</v>
      </c>
      <c r="F18" s="6">
        <v>0.92637731481481478</v>
      </c>
      <c r="G18" s="7">
        <v>12.25</v>
      </c>
      <c r="H18" s="7">
        <f t="shared" si="0"/>
        <v>12.25</v>
      </c>
      <c r="I18" s="3" t="s">
        <v>45</v>
      </c>
      <c r="J18" s="3" t="s">
        <v>31</v>
      </c>
      <c r="K18" s="3" t="s">
        <v>76</v>
      </c>
      <c r="L18" s="3" t="s">
        <v>77</v>
      </c>
    </row>
    <row r="19" spans="1:12" x14ac:dyDescent="0.35">
      <c r="A19" s="3">
        <v>18</v>
      </c>
      <c r="B19" s="3" t="s">
        <v>12</v>
      </c>
      <c r="C19" s="3" t="s">
        <v>78</v>
      </c>
      <c r="D19" s="4">
        <v>1</v>
      </c>
      <c r="E19" s="5">
        <v>42022</v>
      </c>
      <c r="F19" s="6">
        <v>0.75752314814814825</v>
      </c>
      <c r="G19" s="7">
        <v>16</v>
      </c>
      <c r="H19" s="7">
        <f t="shared" si="0"/>
        <v>16</v>
      </c>
      <c r="I19" s="3" t="s">
        <v>14</v>
      </c>
      <c r="J19" s="3" t="s">
        <v>15</v>
      </c>
      <c r="K19" s="3" t="s">
        <v>16</v>
      </c>
      <c r="L19" s="3" t="s">
        <v>17</v>
      </c>
    </row>
    <row r="20" spans="1:12" x14ac:dyDescent="0.35">
      <c r="A20" s="3">
        <v>19</v>
      </c>
      <c r="B20" s="3" t="s">
        <v>79</v>
      </c>
      <c r="C20" s="3" t="s">
        <v>80</v>
      </c>
      <c r="D20" s="4">
        <v>1</v>
      </c>
      <c r="E20" s="5">
        <v>42023</v>
      </c>
      <c r="F20" s="6">
        <v>0.49811342592592589</v>
      </c>
      <c r="G20" s="7">
        <v>12.75</v>
      </c>
      <c r="H20" s="7">
        <f t="shared" si="0"/>
        <v>12.75</v>
      </c>
      <c r="I20" s="3" t="s">
        <v>45</v>
      </c>
      <c r="J20" s="3" t="s">
        <v>21</v>
      </c>
      <c r="K20" s="3" t="s">
        <v>81</v>
      </c>
      <c r="L20" s="3" t="s">
        <v>82</v>
      </c>
    </row>
    <row r="21" spans="1:12" x14ac:dyDescent="0.35">
      <c r="A21" s="3">
        <v>20</v>
      </c>
      <c r="B21" s="3" t="s">
        <v>62</v>
      </c>
      <c r="C21" s="3" t="s">
        <v>83</v>
      </c>
      <c r="D21" s="4">
        <v>1</v>
      </c>
      <c r="E21" s="5">
        <v>42023</v>
      </c>
      <c r="F21" s="6">
        <v>0.83283564814814814</v>
      </c>
      <c r="G21" s="7">
        <v>16</v>
      </c>
      <c r="H21" s="7">
        <f t="shared" si="0"/>
        <v>16</v>
      </c>
      <c r="I21" s="3" t="s">
        <v>14</v>
      </c>
      <c r="J21" s="3" t="s">
        <v>15</v>
      </c>
      <c r="K21" s="3" t="s">
        <v>37</v>
      </c>
      <c r="L21" s="3" t="s">
        <v>38</v>
      </c>
    </row>
    <row r="22" spans="1:12" x14ac:dyDescent="0.35">
      <c r="A22" s="3">
        <v>21</v>
      </c>
      <c r="B22" s="3" t="s">
        <v>84</v>
      </c>
      <c r="C22" s="3" t="s">
        <v>85</v>
      </c>
      <c r="D22" s="4">
        <v>1</v>
      </c>
      <c r="E22" s="5">
        <v>42025</v>
      </c>
      <c r="F22" s="6">
        <v>0.52682870370370372</v>
      </c>
      <c r="G22" s="7">
        <v>20.25</v>
      </c>
      <c r="H22" s="7">
        <f t="shared" si="0"/>
        <v>20.25</v>
      </c>
      <c r="I22" s="3" t="s">
        <v>20</v>
      </c>
      <c r="J22" s="3" t="s">
        <v>31</v>
      </c>
      <c r="K22" s="3" t="s">
        <v>76</v>
      </c>
      <c r="L22" s="3" t="s">
        <v>77</v>
      </c>
    </row>
    <row r="23" spans="1:12" x14ac:dyDescent="0.35">
      <c r="A23" s="3">
        <v>22</v>
      </c>
      <c r="B23" s="3" t="s">
        <v>86</v>
      </c>
      <c r="C23" s="3" t="s">
        <v>87</v>
      </c>
      <c r="D23" s="4">
        <v>1</v>
      </c>
      <c r="E23" s="5">
        <v>42025</v>
      </c>
      <c r="F23" s="6">
        <v>0.79336805555555545</v>
      </c>
      <c r="G23" s="7">
        <v>16.5</v>
      </c>
      <c r="H23" s="7">
        <f t="shared" si="0"/>
        <v>16.5</v>
      </c>
      <c r="I23" s="3" t="s">
        <v>14</v>
      </c>
      <c r="J23" s="3" t="s">
        <v>31</v>
      </c>
      <c r="K23" s="3" t="s">
        <v>88</v>
      </c>
      <c r="L23" s="3" t="s">
        <v>89</v>
      </c>
    </row>
    <row r="24" spans="1:12" x14ac:dyDescent="0.35">
      <c r="A24" s="3">
        <v>23</v>
      </c>
      <c r="B24" s="3" t="s">
        <v>90</v>
      </c>
      <c r="C24" s="3" t="s">
        <v>91</v>
      </c>
      <c r="D24" s="4">
        <v>1</v>
      </c>
      <c r="E24" s="5">
        <v>42026</v>
      </c>
      <c r="F24" s="6">
        <v>0.5412731481481482</v>
      </c>
      <c r="G24" s="7">
        <v>12.75</v>
      </c>
      <c r="H24" s="7">
        <f t="shared" si="0"/>
        <v>12.75</v>
      </c>
      <c r="I24" s="3" t="s">
        <v>45</v>
      </c>
      <c r="J24" s="3" t="s">
        <v>21</v>
      </c>
      <c r="K24" s="3" t="s">
        <v>92</v>
      </c>
      <c r="L24" s="3" t="s">
        <v>93</v>
      </c>
    </row>
    <row r="25" spans="1:12" x14ac:dyDescent="0.35">
      <c r="A25" s="3">
        <v>24</v>
      </c>
      <c r="B25" s="3" t="s">
        <v>94</v>
      </c>
      <c r="C25" s="3" t="s">
        <v>95</v>
      </c>
      <c r="D25" s="4">
        <v>1</v>
      </c>
      <c r="E25" s="5">
        <v>42027</v>
      </c>
      <c r="F25" s="6">
        <v>0.67041666666666666</v>
      </c>
      <c r="G25" s="7">
        <v>9.75</v>
      </c>
      <c r="H25" s="7">
        <f t="shared" si="0"/>
        <v>9.75</v>
      </c>
      <c r="I25" s="3" t="s">
        <v>45</v>
      </c>
      <c r="J25" s="3" t="s">
        <v>15</v>
      </c>
      <c r="K25" s="3" t="s">
        <v>41</v>
      </c>
      <c r="L25" s="3" t="s">
        <v>42</v>
      </c>
    </row>
    <row r="26" spans="1:12" x14ac:dyDescent="0.35">
      <c r="A26" s="3">
        <v>25</v>
      </c>
      <c r="B26" s="3" t="s">
        <v>96</v>
      </c>
      <c r="C26" s="3" t="s">
        <v>97</v>
      </c>
      <c r="D26" s="4">
        <v>1</v>
      </c>
      <c r="E26" s="5">
        <v>42028</v>
      </c>
      <c r="F26" s="6">
        <v>0.78531249999999997</v>
      </c>
      <c r="G26" s="7">
        <v>20.25</v>
      </c>
      <c r="H26" s="7">
        <f t="shared" si="0"/>
        <v>20.25</v>
      </c>
      <c r="I26" s="3" t="s">
        <v>20</v>
      </c>
      <c r="J26" s="3" t="s">
        <v>26</v>
      </c>
      <c r="K26" s="3" t="s">
        <v>98</v>
      </c>
      <c r="L26" s="3" t="s">
        <v>99</v>
      </c>
    </row>
    <row r="27" spans="1:12" x14ac:dyDescent="0.35">
      <c r="A27" s="3">
        <v>26</v>
      </c>
      <c r="B27" s="3" t="s">
        <v>12</v>
      </c>
      <c r="C27" s="3" t="s">
        <v>100</v>
      </c>
      <c r="D27" s="4">
        <v>1</v>
      </c>
      <c r="E27" s="5">
        <v>42029</v>
      </c>
      <c r="F27" s="6">
        <v>0.56658564814814816</v>
      </c>
      <c r="G27" s="7">
        <v>16</v>
      </c>
      <c r="H27" s="7">
        <f t="shared" si="0"/>
        <v>16</v>
      </c>
      <c r="I27" s="3" t="s">
        <v>14</v>
      </c>
      <c r="J27" s="3" t="s">
        <v>15</v>
      </c>
      <c r="K27" s="3" t="s">
        <v>16</v>
      </c>
      <c r="L27" s="3" t="s">
        <v>17</v>
      </c>
    </row>
    <row r="28" spans="1:12" x14ac:dyDescent="0.35">
      <c r="A28" s="3">
        <v>27</v>
      </c>
      <c r="B28" s="3" t="s">
        <v>101</v>
      </c>
      <c r="C28" s="3" t="s">
        <v>102</v>
      </c>
      <c r="D28" s="4">
        <v>1</v>
      </c>
      <c r="E28" s="5">
        <v>42030</v>
      </c>
      <c r="F28" s="6">
        <v>0.62159722222222225</v>
      </c>
      <c r="G28" s="7">
        <v>20.75</v>
      </c>
      <c r="H28" s="7">
        <f t="shared" si="0"/>
        <v>20.75</v>
      </c>
      <c r="I28" s="3" t="s">
        <v>20</v>
      </c>
      <c r="J28" s="3" t="s">
        <v>21</v>
      </c>
      <c r="K28" s="3" t="s">
        <v>103</v>
      </c>
      <c r="L28" s="3" t="s">
        <v>104</v>
      </c>
    </row>
    <row r="29" spans="1:12" x14ac:dyDescent="0.35">
      <c r="A29" s="3">
        <v>28</v>
      </c>
      <c r="B29" s="3" t="s">
        <v>105</v>
      </c>
      <c r="C29" s="3" t="s">
        <v>106</v>
      </c>
      <c r="D29" s="4">
        <v>1</v>
      </c>
      <c r="E29" s="5">
        <v>42031</v>
      </c>
      <c r="F29" s="6">
        <v>0.56863425925925926</v>
      </c>
      <c r="G29" s="7">
        <v>16.5</v>
      </c>
      <c r="H29" s="7">
        <f t="shared" si="0"/>
        <v>16.5</v>
      </c>
      <c r="I29" s="3" t="s">
        <v>20</v>
      </c>
      <c r="J29" s="3" t="s">
        <v>15</v>
      </c>
      <c r="K29" s="3" t="s">
        <v>107</v>
      </c>
      <c r="L29" s="3" t="s">
        <v>108</v>
      </c>
    </row>
    <row r="30" spans="1:12" x14ac:dyDescent="0.35">
      <c r="A30" s="3">
        <v>29</v>
      </c>
      <c r="B30" s="3" t="s">
        <v>24</v>
      </c>
      <c r="C30" s="3" t="s">
        <v>109</v>
      </c>
      <c r="D30" s="4">
        <v>1</v>
      </c>
      <c r="E30" s="5">
        <v>42031</v>
      </c>
      <c r="F30" s="6">
        <v>0.77359953703703699</v>
      </c>
      <c r="G30" s="7">
        <v>18.5</v>
      </c>
      <c r="H30" s="7">
        <f t="shared" si="0"/>
        <v>18.5</v>
      </c>
      <c r="I30" s="3" t="s">
        <v>20</v>
      </c>
      <c r="J30" s="3" t="s">
        <v>26</v>
      </c>
      <c r="K30" s="3" t="s">
        <v>27</v>
      </c>
      <c r="L30" s="3" t="s">
        <v>28</v>
      </c>
    </row>
    <row r="31" spans="1:12" x14ac:dyDescent="0.35">
      <c r="A31" s="3">
        <v>30</v>
      </c>
      <c r="B31" s="3" t="s">
        <v>58</v>
      </c>
      <c r="C31" s="3" t="s">
        <v>110</v>
      </c>
      <c r="D31" s="4">
        <v>1</v>
      </c>
      <c r="E31" s="5">
        <v>42032</v>
      </c>
      <c r="F31" s="6">
        <v>0.51156250000000003</v>
      </c>
      <c r="G31" s="7">
        <v>17.95</v>
      </c>
      <c r="H31" s="7">
        <f t="shared" si="0"/>
        <v>17.95</v>
      </c>
      <c r="I31" s="3" t="s">
        <v>20</v>
      </c>
      <c r="J31" s="3" t="s">
        <v>26</v>
      </c>
      <c r="K31" s="3" t="s">
        <v>60</v>
      </c>
      <c r="L31" s="3" t="s">
        <v>61</v>
      </c>
    </row>
    <row r="32" spans="1:12" x14ac:dyDescent="0.35">
      <c r="A32" s="3">
        <v>31</v>
      </c>
      <c r="B32" s="3" t="s">
        <v>111</v>
      </c>
      <c r="C32" s="3" t="s">
        <v>112</v>
      </c>
      <c r="D32" s="4">
        <v>1</v>
      </c>
      <c r="E32" s="5">
        <v>42033</v>
      </c>
      <c r="F32" s="6">
        <v>0.5647685185185185</v>
      </c>
      <c r="G32" s="7">
        <v>20.75</v>
      </c>
      <c r="H32" s="7">
        <f t="shared" si="0"/>
        <v>20.75</v>
      </c>
      <c r="I32" s="3" t="s">
        <v>20</v>
      </c>
      <c r="J32" s="3" t="s">
        <v>21</v>
      </c>
      <c r="K32" s="3" t="s">
        <v>81</v>
      </c>
      <c r="L32" s="3" t="s">
        <v>82</v>
      </c>
    </row>
    <row r="33" spans="1:12" x14ac:dyDescent="0.35">
      <c r="A33" s="3">
        <v>32</v>
      </c>
      <c r="B33" s="3" t="s">
        <v>18</v>
      </c>
      <c r="C33" s="3" t="s">
        <v>113</v>
      </c>
      <c r="D33" s="4">
        <v>1</v>
      </c>
      <c r="E33" s="5">
        <v>42033</v>
      </c>
      <c r="F33" s="6">
        <v>0.56726851851851856</v>
      </c>
      <c r="G33" s="7">
        <v>20.75</v>
      </c>
      <c r="H33" s="7">
        <f t="shared" si="0"/>
        <v>20.75</v>
      </c>
      <c r="I33" s="3" t="s">
        <v>20</v>
      </c>
      <c r="J33" s="3" t="s">
        <v>21</v>
      </c>
      <c r="K33" s="3" t="s">
        <v>22</v>
      </c>
      <c r="L33" s="3" t="s">
        <v>23</v>
      </c>
    </row>
    <row r="34" spans="1:12" x14ac:dyDescent="0.35">
      <c r="A34" s="3">
        <v>33</v>
      </c>
      <c r="B34" s="3" t="s">
        <v>111</v>
      </c>
      <c r="C34" s="3" t="s">
        <v>114</v>
      </c>
      <c r="D34" s="4">
        <v>1</v>
      </c>
      <c r="E34" s="5">
        <v>42034</v>
      </c>
      <c r="F34" s="6">
        <v>0.51442129629629629</v>
      </c>
      <c r="G34" s="7">
        <v>20.75</v>
      </c>
      <c r="H34" s="7">
        <f t="shared" si="0"/>
        <v>20.75</v>
      </c>
      <c r="I34" s="3" t="s">
        <v>20</v>
      </c>
      <c r="J34" s="3" t="s">
        <v>21</v>
      </c>
      <c r="K34" s="3" t="s">
        <v>81</v>
      </c>
      <c r="L34" s="3" t="s">
        <v>82</v>
      </c>
    </row>
    <row r="35" spans="1:12" x14ac:dyDescent="0.35">
      <c r="A35" s="3">
        <v>34</v>
      </c>
      <c r="B35" s="3" t="s">
        <v>115</v>
      </c>
      <c r="C35" s="3" t="s">
        <v>116</v>
      </c>
      <c r="D35" s="4">
        <v>1</v>
      </c>
      <c r="E35" s="5">
        <v>42036</v>
      </c>
      <c r="F35" s="6">
        <v>0.53043981481481484</v>
      </c>
      <c r="G35" s="7">
        <v>12.5</v>
      </c>
      <c r="H35" s="7">
        <f t="shared" si="0"/>
        <v>12.5</v>
      </c>
      <c r="I35" s="3" t="s">
        <v>45</v>
      </c>
      <c r="J35" s="3" t="s">
        <v>31</v>
      </c>
      <c r="K35" s="3" t="s">
        <v>68</v>
      </c>
      <c r="L35" s="3" t="s">
        <v>69</v>
      </c>
    </row>
    <row r="36" spans="1:12" x14ac:dyDescent="0.35">
      <c r="A36" s="3">
        <v>35</v>
      </c>
      <c r="B36" s="3" t="s">
        <v>117</v>
      </c>
      <c r="C36" s="3" t="s">
        <v>118</v>
      </c>
      <c r="D36" s="4">
        <v>1</v>
      </c>
      <c r="E36" s="5">
        <v>42036</v>
      </c>
      <c r="F36" s="6">
        <v>0.67754629629629637</v>
      </c>
      <c r="G36" s="7">
        <v>16</v>
      </c>
      <c r="H36" s="7">
        <f t="shared" si="0"/>
        <v>16</v>
      </c>
      <c r="I36" s="3" t="s">
        <v>14</v>
      </c>
      <c r="J36" s="3" t="s">
        <v>26</v>
      </c>
      <c r="K36" s="3" t="s">
        <v>56</v>
      </c>
      <c r="L36" s="3" t="s">
        <v>57</v>
      </c>
    </row>
    <row r="37" spans="1:12" x14ac:dyDescent="0.35">
      <c r="A37" s="3">
        <v>36</v>
      </c>
      <c r="B37" s="3" t="s">
        <v>66</v>
      </c>
      <c r="C37" s="3" t="s">
        <v>119</v>
      </c>
      <c r="D37" s="4">
        <v>1</v>
      </c>
      <c r="E37" s="5">
        <v>42037</v>
      </c>
      <c r="F37" s="6">
        <v>0.67655092592592592</v>
      </c>
      <c r="G37" s="7">
        <v>20.75</v>
      </c>
      <c r="H37" s="7">
        <f t="shared" si="0"/>
        <v>20.75</v>
      </c>
      <c r="I37" s="3" t="s">
        <v>20</v>
      </c>
      <c r="J37" s="3" t="s">
        <v>31</v>
      </c>
      <c r="K37" s="3" t="s">
        <v>68</v>
      </c>
      <c r="L37" s="3" t="s">
        <v>69</v>
      </c>
    </row>
    <row r="38" spans="1:12" x14ac:dyDescent="0.35">
      <c r="A38" s="3">
        <v>37</v>
      </c>
      <c r="B38" s="3" t="s">
        <v>120</v>
      </c>
      <c r="C38" s="3" t="s">
        <v>121</v>
      </c>
      <c r="D38" s="4">
        <v>1</v>
      </c>
      <c r="E38" s="5">
        <v>42038</v>
      </c>
      <c r="F38" s="6">
        <v>0.71753472222222225</v>
      </c>
      <c r="G38" s="7">
        <v>16</v>
      </c>
      <c r="H38" s="7">
        <f t="shared" si="0"/>
        <v>16</v>
      </c>
      <c r="I38" s="3" t="s">
        <v>14</v>
      </c>
      <c r="J38" s="3" t="s">
        <v>26</v>
      </c>
      <c r="K38" s="3" t="s">
        <v>122</v>
      </c>
      <c r="L38" s="3" t="s">
        <v>123</v>
      </c>
    </row>
    <row r="39" spans="1:12" x14ac:dyDescent="0.35">
      <c r="A39" s="3">
        <v>38</v>
      </c>
      <c r="B39" s="3" t="s">
        <v>124</v>
      </c>
      <c r="C39" s="3" t="s">
        <v>125</v>
      </c>
      <c r="D39" s="4">
        <v>1</v>
      </c>
      <c r="E39" s="5">
        <v>42040</v>
      </c>
      <c r="F39" s="6">
        <v>0.8405555555555555</v>
      </c>
      <c r="G39" s="7">
        <v>12.5</v>
      </c>
      <c r="H39" s="7">
        <f t="shared" si="0"/>
        <v>12.5</v>
      </c>
      <c r="I39" s="3" t="s">
        <v>45</v>
      </c>
      <c r="J39" s="3" t="s">
        <v>31</v>
      </c>
      <c r="K39" s="3" t="s">
        <v>88</v>
      </c>
      <c r="L39" s="3" t="s">
        <v>89</v>
      </c>
    </row>
    <row r="40" spans="1:12" x14ac:dyDescent="0.35">
      <c r="A40" s="3">
        <v>39</v>
      </c>
      <c r="B40" s="3" t="s">
        <v>126</v>
      </c>
      <c r="C40" s="3" t="s">
        <v>127</v>
      </c>
      <c r="D40" s="4">
        <v>1</v>
      </c>
      <c r="E40" s="5">
        <v>42041</v>
      </c>
      <c r="F40" s="6">
        <v>0.58423611111111107</v>
      </c>
      <c r="G40" s="7">
        <v>10.5</v>
      </c>
      <c r="H40" s="7">
        <f t="shared" si="0"/>
        <v>10.5</v>
      </c>
      <c r="I40" s="3" t="s">
        <v>45</v>
      </c>
      <c r="J40" s="3" t="s">
        <v>15</v>
      </c>
      <c r="K40" s="3" t="s">
        <v>107</v>
      </c>
      <c r="L40" s="3" t="s">
        <v>108</v>
      </c>
    </row>
    <row r="41" spans="1:12" x14ac:dyDescent="0.35">
      <c r="A41" s="3">
        <v>40</v>
      </c>
      <c r="B41" s="3" t="s">
        <v>96</v>
      </c>
      <c r="C41" s="3" t="s">
        <v>128</v>
      </c>
      <c r="D41" s="4">
        <v>1</v>
      </c>
      <c r="E41" s="5">
        <v>42041</v>
      </c>
      <c r="F41" s="6">
        <v>0.77909722222222222</v>
      </c>
      <c r="G41" s="7">
        <v>20.25</v>
      </c>
      <c r="H41" s="7">
        <f t="shared" si="0"/>
        <v>20.25</v>
      </c>
      <c r="I41" s="3" t="s">
        <v>20</v>
      </c>
      <c r="J41" s="3" t="s">
        <v>26</v>
      </c>
      <c r="K41" s="3" t="s">
        <v>98</v>
      </c>
      <c r="L41" s="3" t="s">
        <v>99</v>
      </c>
    </row>
    <row r="42" spans="1:12" x14ac:dyDescent="0.35">
      <c r="A42" s="3">
        <v>41</v>
      </c>
      <c r="B42" s="3" t="s">
        <v>129</v>
      </c>
      <c r="C42" s="3" t="s">
        <v>130</v>
      </c>
      <c r="D42" s="4">
        <v>1</v>
      </c>
      <c r="E42" s="5">
        <v>42042</v>
      </c>
      <c r="F42" s="6">
        <v>0.72395833333333337</v>
      </c>
      <c r="G42" s="7">
        <v>16.75</v>
      </c>
      <c r="H42" s="7">
        <f t="shared" si="0"/>
        <v>16.75</v>
      </c>
      <c r="I42" s="3" t="s">
        <v>14</v>
      </c>
      <c r="J42" s="3" t="s">
        <v>21</v>
      </c>
      <c r="K42" s="3" t="s">
        <v>131</v>
      </c>
      <c r="L42" s="3" t="s">
        <v>132</v>
      </c>
    </row>
    <row r="43" spans="1:12" x14ac:dyDescent="0.35">
      <c r="A43" s="3">
        <v>42</v>
      </c>
      <c r="B43" s="3" t="s">
        <v>133</v>
      </c>
      <c r="C43" s="3" t="s">
        <v>134</v>
      </c>
      <c r="D43" s="4">
        <v>1</v>
      </c>
      <c r="E43" s="5">
        <v>42042</v>
      </c>
      <c r="F43" s="6">
        <v>0.7480902777777777</v>
      </c>
      <c r="G43" s="7">
        <v>16.75</v>
      </c>
      <c r="H43" s="7">
        <f t="shared" si="0"/>
        <v>16.75</v>
      </c>
      <c r="I43" s="3" t="s">
        <v>14</v>
      </c>
      <c r="J43" s="3" t="s">
        <v>21</v>
      </c>
      <c r="K43" s="3" t="s">
        <v>103</v>
      </c>
      <c r="L43" s="3" t="s">
        <v>104</v>
      </c>
    </row>
    <row r="44" spans="1:12" x14ac:dyDescent="0.35">
      <c r="A44" s="3">
        <v>43</v>
      </c>
      <c r="B44" s="3" t="s">
        <v>135</v>
      </c>
      <c r="C44" s="3" t="s">
        <v>136</v>
      </c>
      <c r="D44" s="4">
        <v>1</v>
      </c>
      <c r="E44" s="5">
        <v>42043</v>
      </c>
      <c r="F44" s="6">
        <v>0.50717592592592597</v>
      </c>
      <c r="G44" s="7">
        <v>20.5</v>
      </c>
      <c r="H44" s="7">
        <f t="shared" si="0"/>
        <v>20.5</v>
      </c>
      <c r="I44" s="3" t="s">
        <v>20</v>
      </c>
      <c r="J44" s="3" t="s">
        <v>15</v>
      </c>
      <c r="K44" s="3" t="s">
        <v>37</v>
      </c>
      <c r="L44" s="3" t="s">
        <v>38</v>
      </c>
    </row>
    <row r="45" spans="1:12" x14ac:dyDescent="0.35">
      <c r="A45" s="3">
        <v>44</v>
      </c>
      <c r="B45" s="3" t="s">
        <v>126</v>
      </c>
      <c r="C45" s="3" t="s">
        <v>137</v>
      </c>
      <c r="D45" s="4">
        <v>1</v>
      </c>
      <c r="E45" s="5">
        <v>42043</v>
      </c>
      <c r="F45" s="6">
        <v>0.72152777777777777</v>
      </c>
      <c r="G45" s="7">
        <v>10.5</v>
      </c>
      <c r="H45" s="7">
        <f t="shared" si="0"/>
        <v>10.5</v>
      </c>
      <c r="I45" s="3" t="s">
        <v>45</v>
      </c>
      <c r="J45" s="3" t="s">
        <v>15</v>
      </c>
      <c r="K45" s="3" t="s">
        <v>107</v>
      </c>
      <c r="L45" s="3" t="s">
        <v>108</v>
      </c>
    </row>
    <row r="46" spans="1:12" x14ac:dyDescent="0.35">
      <c r="A46" s="3">
        <v>45</v>
      </c>
      <c r="B46" s="3" t="s">
        <v>138</v>
      </c>
      <c r="C46" s="3" t="s">
        <v>139</v>
      </c>
      <c r="D46" s="4">
        <v>1</v>
      </c>
      <c r="E46" s="5">
        <v>42044</v>
      </c>
      <c r="F46" s="6">
        <v>0.58379629629629626</v>
      </c>
      <c r="G46" s="7">
        <v>20.75</v>
      </c>
      <c r="H46" s="7">
        <f t="shared" si="0"/>
        <v>20.75</v>
      </c>
      <c r="I46" s="3" t="s">
        <v>20</v>
      </c>
      <c r="J46" s="3" t="s">
        <v>21</v>
      </c>
      <c r="K46" s="3" t="s">
        <v>140</v>
      </c>
      <c r="L46" s="3" t="s">
        <v>141</v>
      </c>
    </row>
    <row r="47" spans="1:12" x14ac:dyDescent="0.35">
      <c r="A47" s="3">
        <v>46</v>
      </c>
      <c r="B47" s="3" t="s">
        <v>58</v>
      </c>
      <c r="C47" s="3" t="s">
        <v>142</v>
      </c>
      <c r="D47" s="4">
        <v>1</v>
      </c>
      <c r="E47" s="5">
        <v>42047</v>
      </c>
      <c r="F47" s="6">
        <v>0.79856481481481489</v>
      </c>
      <c r="G47" s="7">
        <v>17.95</v>
      </c>
      <c r="H47" s="7">
        <f t="shared" si="0"/>
        <v>17.95</v>
      </c>
      <c r="I47" s="3" t="s">
        <v>20</v>
      </c>
      <c r="J47" s="3" t="s">
        <v>26</v>
      </c>
      <c r="K47" s="3" t="s">
        <v>60</v>
      </c>
      <c r="L47" s="3" t="s">
        <v>61</v>
      </c>
    </row>
    <row r="48" spans="1:12" x14ac:dyDescent="0.35">
      <c r="A48" s="3">
        <v>47</v>
      </c>
      <c r="B48" s="3" t="s">
        <v>84</v>
      </c>
      <c r="C48" s="3" t="s">
        <v>143</v>
      </c>
      <c r="D48" s="4">
        <v>1</v>
      </c>
      <c r="E48" s="5">
        <v>42048</v>
      </c>
      <c r="F48" s="6">
        <v>0.71331018518518519</v>
      </c>
      <c r="G48" s="7">
        <v>20.25</v>
      </c>
      <c r="H48" s="7">
        <f t="shared" si="0"/>
        <v>20.25</v>
      </c>
      <c r="I48" s="3" t="s">
        <v>20</v>
      </c>
      <c r="J48" s="3" t="s">
        <v>31</v>
      </c>
      <c r="K48" s="3" t="s">
        <v>76</v>
      </c>
      <c r="L48" s="3" t="s">
        <v>77</v>
      </c>
    </row>
    <row r="49" spans="1:12" x14ac:dyDescent="0.35">
      <c r="A49" s="3">
        <v>48</v>
      </c>
      <c r="B49" s="3" t="s">
        <v>144</v>
      </c>
      <c r="C49" s="3" t="s">
        <v>145</v>
      </c>
      <c r="D49" s="4">
        <v>1</v>
      </c>
      <c r="E49" s="5">
        <v>42049</v>
      </c>
      <c r="F49" s="6">
        <v>0.78783564814814822</v>
      </c>
      <c r="G49" s="7">
        <v>20.25</v>
      </c>
      <c r="H49" s="7">
        <f t="shared" si="0"/>
        <v>20.25</v>
      </c>
      <c r="I49" s="3" t="s">
        <v>20</v>
      </c>
      <c r="J49" s="3" t="s">
        <v>31</v>
      </c>
      <c r="K49" s="3" t="s">
        <v>146</v>
      </c>
      <c r="L49" s="3" t="s">
        <v>147</v>
      </c>
    </row>
    <row r="50" spans="1:12" x14ac:dyDescent="0.35">
      <c r="A50" s="3">
        <v>49</v>
      </c>
      <c r="B50" s="3" t="s">
        <v>48</v>
      </c>
      <c r="C50" s="3" t="s">
        <v>148</v>
      </c>
      <c r="D50" s="4">
        <v>1</v>
      </c>
      <c r="E50" s="5">
        <v>42049</v>
      </c>
      <c r="F50" s="6">
        <v>0.81650462962962955</v>
      </c>
      <c r="G50" s="7">
        <v>20.75</v>
      </c>
      <c r="H50" s="7">
        <f t="shared" si="0"/>
        <v>20.75</v>
      </c>
      <c r="I50" s="3" t="s">
        <v>20</v>
      </c>
      <c r="J50" s="3" t="s">
        <v>31</v>
      </c>
      <c r="K50" s="3" t="s">
        <v>50</v>
      </c>
      <c r="L50" s="3" t="s">
        <v>51</v>
      </c>
    </row>
    <row r="51" spans="1:12" x14ac:dyDescent="0.35">
      <c r="A51" s="3">
        <v>50</v>
      </c>
      <c r="B51" s="3" t="s">
        <v>70</v>
      </c>
      <c r="C51" s="3" t="s">
        <v>149</v>
      </c>
      <c r="D51" s="4">
        <v>1</v>
      </c>
      <c r="E51" s="5">
        <v>42049</v>
      </c>
      <c r="F51" s="6">
        <v>0.88079861111111113</v>
      </c>
      <c r="G51" s="7">
        <v>16.75</v>
      </c>
      <c r="H51" s="7">
        <f t="shared" si="0"/>
        <v>16.75</v>
      </c>
      <c r="I51" s="3" t="s">
        <v>14</v>
      </c>
      <c r="J51" s="3" t="s">
        <v>26</v>
      </c>
      <c r="K51" s="3" t="s">
        <v>72</v>
      </c>
      <c r="L51" s="3" t="s">
        <v>73</v>
      </c>
    </row>
    <row r="52" spans="1:12" x14ac:dyDescent="0.35">
      <c r="A52" s="3">
        <v>51</v>
      </c>
      <c r="B52" s="3" t="s">
        <v>124</v>
      </c>
      <c r="C52" s="3" t="s">
        <v>150</v>
      </c>
      <c r="D52" s="4">
        <v>1</v>
      </c>
      <c r="E52" s="5">
        <v>42050</v>
      </c>
      <c r="F52" s="6">
        <v>0.72870370370370363</v>
      </c>
      <c r="G52" s="7">
        <v>12.5</v>
      </c>
      <c r="H52" s="7">
        <f t="shared" si="0"/>
        <v>12.5</v>
      </c>
      <c r="I52" s="3" t="s">
        <v>45</v>
      </c>
      <c r="J52" s="3" t="s">
        <v>31</v>
      </c>
      <c r="K52" s="3" t="s">
        <v>88</v>
      </c>
      <c r="L52" s="3" t="s">
        <v>89</v>
      </c>
    </row>
    <row r="53" spans="1:12" x14ac:dyDescent="0.35">
      <c r="A53" s="3">
        <v>52</v>
      </c>
      <c r="B53" s="3" t="s">
        <v>151</v>
      </c>
      <c r="C53" s="3" t="s">
        <v>152</v>
      </c>
      <c r="D53" s="4">
        <v>1</v>
      </c>
      <c r="E53" s="5">
        <v>42052</v>
      </c>
      <c r="F53" s="6">
        <v>0.59510416666666666</v>
      </c>
      <c r="G53" s="7">
        <v>20.75</v>
      </c>
      <c r="H53" s="7">
        <f t="shared" si="0"/>
        <v>20.75</v>
      </c>
      <c r="I53" s="3" t="s">
        <v>20</v>
      </c>
      <c r="J53" s="3" t="s">
        <v>31</v>
      </c>
      <c r="K53" s="3" t="s">
        <v>88</v>
      </c>
      <c r="L53" s="3" t="s">
        <v>89</v>
      </c>
    </row>
    <row r="54" spans="1:12" x14ac:dyDescent="0.35">
      <c r="A54" s="3">
        <v>53</v>
      </c>
      <c r="B54" s="3" t="s">
        <v>153</v>
      </c>
      <c r="C54" s="3" t="s">
        <v>154</v>
      </c>
      <c r="D54" s="4">
        <v>1</v>
      </c>
      <c r="E54" s="5">
        <v>42052</v>
      </c>
      <c r="F54" s="6">
        <v>0.81025462962962969</v>
      </c>
      <c r="G54" s="7">
        <v>16.25</v>
      </c>
      <c r="H54" s="7">
        <f t="shared" si="0"/>
        <v>16.25</v>
      </c>
      <c r="I54" s="3" t="s">
        <v>14</v>
      </c>
      <c r="J54" s="3" t="s">
        <v>31</v>
      </c>
      <c r="K54" s="3" t="s">
        <v>76</v>
      </c>
      <c r="L54" s="3" t="s">
        <v>77</v>
      </c>
    </row>
    <row r="55" spans="1:12" x14ac:dyDescent="0.35">
      <c r="A55" s="3">
        <v>54</v>
      </c>
      <c r="B55" s="3" t="s">
        <v>155</v>
      </c>
      <c r="C55" s="3" t="s">
        <v>156</v>
      </c>
      <c r="D55" s="4">
        <v>1</v>
      </c>
      <c r="E55" s="5">
        <v>42053</v>
      </c>
      <c r="F55" s="6">
        <v>0.54222222222222227</v>
      </c>
      <c r="G55" s="7">
        <v>16.5</v>
      </c>
      <c r="H55" s="7">
        <f t="shared" si="0"/>
        <v>16.5</v>
      </c>
      <c r="I55" s="3" t="s">
        <v>14</v>
      </c>
      <c r="J55" s="3" t="s">
        <v>31</v>
      </c>
      <c r="K55" s="3" t="s">
        <v>46</v>
      </c>
      <c r="L55" s="3" t="s">
        <v>47</v>
      </c>
    </row>
    <row r="56" spans="1:12" x14ac:dyDescent="0.35">
      <c r="A56" s="3">
        <v>55</v>
      </c>
      <c r="B56" s="3" t="s">
        <v>117</v>
      </c>
      <c r="C56" s="3" t="s">
        <v>157</v>
      </c>
      <c r="D56" s="4">
        <v>1</v>
      </c>
      <c r="E56" s="5">
        <v>42053</v>
      </c>
      <c r="F56" s="6">
        <v>0.57724537037037038</v>
      </c>
      <c r="G56" s="7">
        <v>16</v>
      </c>
      <c r="H56" s="7">
        <f t="shared" si="0"/>
        <v>16</v>
      </c>
      <c r="I56" s="3" t="s">
        <v>14</v>
      </c>
      <c r="J56" s="3" t="s">
        <v>26</v>
      </c>
      <c r="K56" s="3" t="s">
        <v>56</v>
      </c>
      <c r="L56" s="3" t="s">
        <v>57</v>
      </c>
    </row>
    <row r="57" spans="1:12" x14ac:dyDescent="0.35">
      <c r="A57" s="3">
        <v>56</v>
      </c>
      <c r="B57" s="3" t="s">
        <v>158</v>
      </c>
      <c r="C57" s="3" t="s">
        <v>159</v>
      </c>
      <c r="D57" s="4">
        <v>1</v>
      </c>
      <c r="E57" s="5">
        <v>42053</v>
      </c>
      <c r="F57" s="6">
        <v>0.75034722222222217</v>
      </c>
      <c r="G57" s="7">
        <v>20.75</v>
      </c>
      <c r="H57" s="7">
        <f t="shared" si="0"/>
        <v>20.75</v>
      </c>
      <c r="I57" s="3" t="s">
        <v>20</v>
      </c>
      <c r="J57" s="3" t="s">
        <v>31</v>
      </c>
      <c r="K57" s="3" t="s">
        <v>46</v>
      </c>
      <c r="L57" s="3" t="s">
        <v>47</v>
      </c>
    </row>
    <row r="58" spans="1:12" x14ac:dyDescent="0.35">
      <c r="A58" s="3">
        <v>57</v>
      </c>
      <c r="B58" s="3" t="s">
        <v>151</v>
      </c>
      <c r="C58" s="3" t="s">
        <v>160</v>
      </c>
      <c r="D58" s="4">
        <v>1</v>
      </c>
      <c r="E58" s="5">
        <v>42054</v>
      </c>
      <c r="F58" s="6">
        <v>0.55131944444444447</v>
      </c>
      <c r="G58" s="7">
        <v>20.75</v>
      </c>
      <c r="H58" s="7">
        <f t="shared" si="0"/>
        <v>20.75</v>
      </c>
      <c r="I58" s="3" t="s">
        <v>20</v>
      </c>
      <c r="J58" s="3" t="s">
        <v>31</v>
      </c>
      <c r="K58" s="3" t="s">
        <v>88</v>
      </c>
      <c r="L58" s="3" t="s">
        <v>89</v>
      </c>
    </row>
    <row r="59" spans="1:12" x14ac:dyDescent="0.35">
      <c r="A59" s="3">
        <v>58</v>
      </c>
      <c r="B59" s="3" t="s">
        <v>43</v>
      </c>
      <c r="C59" s="3" t="s">
        <v>161</v>
      </c>
      <c r="D59" s="4">
        <v>1</v>
      </c>
      <c r="E59" s="5">
        <v>42054</v>
      </c>
      <c r="F59" s="6">
        <v>0.83151620370370372</v>
      </c>
      <c r="G59" s="7">
        <v>12.5</v>
      </c>
      <c r="H59" s="7">
        <f t="shared" si="0"/>
        <v>12.5</v>
      </c>
      <c r="I59" s="3" t="s">
        <v>45</v>
      </c>
      <c r="J59" s="3" t="s">
        <v>31</v>
      </c>
      <c r="K59" s="3" t="s">
        <v>46</v>
      </c>
      <c r="L59" s="3" t="s">
        <v>47</v>
      </c>
    </row>
    <row r="60" spans="1:12" x14ac:dyDescent="0.35">
      <c r="A60" s="3">
        <v>59</v>
      </c>
      <c r="B60" s="3" t="s">
        <v>162</v>
      </c>
      <c r="C60" s="3" t="s">
        <v>163</v>
      </c>
      <c r="D60" s="4">
        <v>1</v>
      </c>
      <c r="E60" s="5">
        <v>42059</v>
      </c>
      <c r="F60" s="6">
        <v>0.73495370370370372</v>
      </c>
      <c r="G60" s="7">
        <v>20.75</v>
      </c>
      <c r="H60" s="7">
        <f t="shared" si="0"/>
        <v>20.75</v>
      </c>
      <c r="I60" s="3" t="s">
        <v>20</v>
      </c>
      <c r="J60" s="3" t="s">
        <v>21</v>
      </c>
      <c r="K60" s="3" t="s">
        <v>92</v>
      </c>
      <c r="L60" s="3" t="s">
        <v>93</v>
      </c>
    </row>
    <row r="61" spans="1:12" x14ac:dyDescent="0.35">
      <c r="A61" s="3">
        <v>60</v>
      </c>
      <c r="B61" s="3" t="s">
        <v>164</v>
      </c>
      <c r="C61" s="3" t="s">
        <v>165</v>
      </c>
      <c r="D61" s="4">
        <v>1</v>
      </c>
      <c r="E61" s="5">
        <v>42059</v>
      </c>
      <c r="F61" s="6">
        <v>0.75357638888888889</v>
      </c>
      <c r="G61" s="7">
        <v>12.5</v>
      </c>
      <c r="H61" s="7">
        <f t="shared" si="0"/>
        <v>12.5</v>
      </c>
      <c r="I61" s="3" t="s">
        <v>45</v>
      </c>
      <c r="J61" s="3" t="s">
        <v>26</v>
      </c>
      <c r="K61" s="3" t="s">
        <v>166</v>
      </c>
      <c r="L61" s="3" t="s">
        <v>167</v>
      </c>
    </row>
    <row r="62" spans="1:12" x14ac:dyDescent="0.35">
      <c r="A62" s="3">
        <v>61</v>
      </c>
      <c r="B62" s="3" t="s">
        <v>155</v>
      </c>
      <c r="C62" s="3" t="s">
        <v>168</v>
      </c>
      <c r="D62" s="4">
        <v>1</v>
      </c>
      <c r="E62" s="5">
        <v>42061</v>
      </c>
      <c r="F62" s="6">
        <v>0.80907407407407417</v>
      </c>
      <c r="G62" s="7">
        <v>16.5</v>
      </c>
      <c r="H62" s="7">
        <f t="shared" si="0"/>
        <v>16.5</v>
      </c>
      <c r="I62" s="3" t="s">
        <v>14</v>
      </c>
      <c r="J62" s="3" t="s">
        <v>31</v>
      </c>
      <c r="K62" s="3" t="s">
        <v>46</v>
      </c>
      <c r="L62" s="3" t="s">
        <v>47</v>
      </c>
    </row>
    <row r="63" spans="1:12" x14ac:dyDescent="0.35">
      <c r="A63" s="3">
        <v>62</v>
      </c>
      <c r="B63" s="3" t="s">
        <v>74</v>
      </c>
      <c r="C63" s="3" t="s">
        <v>169</v>
      </c>
      <c r="D63" s="4">
        <v>1</v>
      </c>
      <c r="E63" s="5">
        <v>42062</v>
      </c>
      <c r="F63" s="6">
        <v>0.78157407407407409</v>
      </c>
      <c r="G63" s="7">
        <v>12.25</v>
      </c>
      <c r="H63" s="7">
        <f t="shared" si="0"/>
        <v>12.25</v>
      </c>
      <c r="I63" s="3" t="s">
        <v>45</v>
      </c>
      <c r="J63" s="3" t="s">
        <v>31</v>
      </c>
      <c r="K63" s="3" t="s">
        <v>76</v>
      </c>
      <c r="L63" s="3" t="s">
        <v>77</v>
      </c>
    </row>
    <row r="64" spans="1:12" x14ac:dyDescent="0.35">
      <c r="A64" s="3">
        <v>63</v>
      </c>
      <c r="B64" s="3" t="s">
        <v>170</v>
      </c>
      <c r="C64" s="3" t="s">
        <v>171</v>
      </c>
      <c r="D64" s="4">
        <v>1</v>
      </c>
      <c r="E64" s="5">
        <v>42063</v>
      </c>
      <c r="F64" s="6">
        <v>0.77453703703703702</v>
      </c>
      <c r="G64" s="7">
        <v>12</v>
      </c>
      <c r="H64" s="7">
        <f t="shared" si="0"/>
        <v>12</v>
      </c>
      <c r="I64" s="3" t="s">
        <v>45</v>
      </c>
      <c r="J64" s="3" t="s">
        <v>15</v>
      </c>
      <c r="K64" s="3" t="s">
        <v>172</v>
      </c>
      <c r="L64" s="3" t="s">
        <v>173</v>
      </c>
    </row>
    <row r="65" spans="1:12" x14ac:dyDescent="0.35">
      <c r="A65" s="3">
        <v>64</v>
      </c>
      <c r="B65" s="3" t="s">
        <v>117</v>
      </c>
      <c r="C65" s="3" t="s">
        <v>174</v>
      </c>
      <c r="D65" s="4">
        <v>1</v>
      </c>
      <c r="E65" s="5">
        <v>42063</v>
      </c>
      <c r="F65" s="6">
        <v>0.87979166666666664</v>
      </c>
      <c r="G65" s="7">
        <v>16</v>
      </c>
      <c r="H65" s="7">
        <f t="shared" si="0"/>
        <v>16</v>
      </c>
      <c r="I65" s="3" t="s">
        <v>14</v>
      </c>
      <c r="J65" s="3" t="s">
        <v>26</v>
      </c>
      <c r="K65" s="3" t="s">
        <v>56</v>
      </c>
      <c r="L65" s="3" t="s">
        <v>57</v>
      </c>
    </row>
    <row r="66" spans="1:12" x14ac:dyDescent="0.35">
      <c r="A66" s="3">
        <v>65</v>
      </c>
      <c r="B66" s="3" t="s">
        <v>175</v>
      </c>
      <c r="C66" s="3" t="s">
        <v>176</v>
      </c>
      <c r="D66" s="4">
        <v>1</v>
      </c>
      <c r="E66" s="5">
        <v>42063</v>
      </c>
      <c r="F66" s="6">
        <v>0.9620023148148148</v>
      </c>
      <c r="G66" s="7">
        <v>12</v>
      </c>
      <c r="H66" s="7">
        <f t="shared" si="0"/>
        <v>12</v>
      </c>
      <c r="I66" s="3" t="s">
        <v>45</v>
      </c>
      <c r="J66" s="3" t="s">
        <v>15</v>
      </c>
      <c r="K66" s="3" t="s">
        <v>16</v>
      </c>
      <c r="L66" s="3" t="s">
        <v>17</v>
      </c>
    </row>
    <row r="67" spans="1:12" x14ac:dyDescent="0.35">
      <c r="A67" s="3">
        <v>66</v>
      </c>
      <c r="B67" s="3" t="s">
        <v>90</v>
      </c>
      <c r="C67" s="3" t="s">
        <v>177</v>
      </c>
      <c r="D67" s="4">
        <v>1</v>
      </c>
      <c r="E67" s="5">
        <v>42064</v>
      </c>
      <c r="F67" s="6">
        <v>0.76226851851851851</v>
      </c>
      <c r="G67" s="7">
        <v>12.75</v>
      </c>
      <c r="H67" s="7">
        <f t="shared" ref="H67:H130" si="1">G67*D67</f>
        <v>12.75</v>
      </c>
      <c r="I67" s="3" t="s">
        <v>45</v>
      </c>
      <c r="J67" s="3" t="s">
        <v>21</v>
      </c>
      <c r="K67" s="3" t="s">
        <v>92</v>
      </c>
      <c r="L67" s="3" t="s">
        <v>93</v>
      </c>
    </row>
    <row r="68" spans="1:12" x14ac:dyDescent="0.35">
      <c r="A68" s="3">
        <v>67</v>
      </c>
      <c r="B68" s="3" t="s">
        <v>178</v>
      </c>
      <c r="C68" s="3" t="s">
        <v>179</v>
      </c>
      <c r="D68" s="4">
        <v>1</v>
      </c>
      <c r="E68" s="5">
        <v>42066</v>
      </c>
      <c r="F68" s="6">
        <v>0.6284953703703704</v>
      </c>
      <c r="G68" s="7">
        <v>20.5</v>
      </c>
      <c r="H68" s="7">
        <f t="shared" si="1"/>
        <v>20.5</v>
      </c>
      <c r="I68" s="3" t="s">
        <v>20</v>
      </c>
      <c r="J68" s="3" t="s">
        <v>15</v>
      </c>
      <c r="K68" s="3" t="s">
        <v>180</v>
      </c>
      <c r="L68" s="3" t="s">
        <v>181</v>
      </c>
    </row>
    <row r="69" spans="1:12" x14ac:dyDescent="0.35">
      <c r="A69" s="3">
        <v>68</v>
      </c>
      <c r="B69" s="3" t="s">
        <v>182</v>
      </c>
      <c r="C69" s="3" t="s">
        <v>183</v>
      </c>
      <c r="D69" s="4">
        <v>1</v>
      </c>
      <c r="E69" s="5">
        <v>42067</v>
      </c>
      <c r="F69" s="6">
        <v>0.74454861111111104</v>
      </c>
      <c r="G69" s="7">
        <v>12</v>
      </c>
      <c r="H69" s="7">
        <f t="shared" si="1"/>
        <v>12</v>
      </c>
      <c r="I69" s="3" t="s">
        <v>45</v>
      </c>
      <c r="J69" s="3" t="s">
        <v>15</v>
      </c>
      <c r="K69" s="3" t="s">
        <v>184</v>
      </c>
      <c r="L69" s="3" t="s">
        <v>185</v>
      </c>
    </row>
    <row r="70" spans="1:12" x14ac:dyDescent="0.35">
      <c r="A70" s="3">
        <v>69</v>
      </c>
      <c r="B70" s="3" t="s">
        <v>111</v>
      </c>
      <c r="C70" s="3" t="s">
        <v>186</v>
      </c>
      <c r="D70" s="4">
        <v>1</v>
      </c>
      <c r="E70" s="5">
        <v>42068</v>
      </c>
      <c r="F70" s="6">
        <v>0.52111111111111108</v>
      </c>
      <c r="G70" s="7">
        <v>20.75</v>
      </c>
      <c r="H70" s="7">
        <f t="shared" si="1"/>
        <v>20.75</v>
      </c>
      <c r="I70" s="3" t="s">
        <v>20</v>
      </c>
      <c r="J70" s="3" t="s">
        <v>21</v>
      </c>
      <c r="K70" s="3" t="s">
        <v>81</v>
      </c>
      <c r="L70" s="3" t="s">
        <v>82</v>
      </c>
    </row>
    <row r="71" spans="1:12" x14ac:dyDescent="0.35">
      <c r="A71" s="3">
        <v>70</v>
      </c>
      <c r="B71" s="3" t="s">
        <v>187</v>
      </c>
      <c r="C71" s="3" t="s">
        <v>148</v>
      </c>
      <c r="D71" s="4">
        <v>1</v>
      </c>
      <c r="E71" s="5">
        <v>42068</v>
      </c>
      <c r="F71" s="6">
        <v>0.61062499999999997</v>
      </c>
      <c r="G71" s="7">
        <v>13.25</v>
      </c>
      <c r="H71" s="7">
        <f t="shared" si="1"/>
        <v>13.25</v>
      </c>
      <c r="I71" s="3" t="s">
        <v>14</v>
      </c>
      <c r="J71" s="3" t="s">
        <v>15</v>
      </c>
      <c r="K71" s="3" t="s">
        <v>107</v>
      </c>
      <c r="L71" s="3" t="s">
        <v>108</v>
      </c>
    </row>
    <row r="72" spans="1:12" x14ac:dyDescent="0.35">
      <c r="A72" s="3">
        <v>71</v>
      </c>
      <c r="B72" s="3" t="s">
        <v>29</v>
      </c>
      <c r="C72" s="3" t="s">
        <v>188</v>
      </c>
      <c r="D72" s="4">
        <v>1</v>
      </c>
      <c r="E72" s="5">
        <v>42068</v>
      </c>
      <c r="F72" s="6">
        <v>0.72979166666666673</v>
      </c>
      <c r="G72" s="7">
        <v>20.75</v>
      </c>
      <c r="H72" s="7">
        <f t="shared" si="1"/>
        <v>20.75</v>
      </c>
      <c r="I72" s="3" t="s">
        <v>20</v>
      </c>
      <c r="J72" s="3" t="s">
        <v>31</v>
      </c>
      <c r="K72" s="3" t="s">
        <v>32</v>
      </c>
      <c r="L72" s="3" t="s">
        <v>33</v>
      </c>
    </row>
    <row r="73" spans="1:12" x14ac:dyDescent="0.35">
      <c r="A73" s="3">
        <v>72</v>
      </c>
      <c r="B73" s="3" t="s">
        <v>126</v>
      </c>
      <c r="C73" s="3" t="s">
        <v>189</v>
      </c>
      <c r="D73" s="4">
        <v>1</v>
      </c>
      <c r="E73" s="5">
        <v>42069</v>
      </c>
      <c r="F73" s="6">
        <v>0.57502314814814814</v>
      </c>
      <c r="G73" s="7">
        <v>10.5</v>
      </c>
      <c r="H73" s="7">
        <f t="shared" si="1"/>
        <v>10.5</v>
      </c>
      <c r="I73" s="3" t="s">
        <v>45</v>
      </c>
      <c r="J73" s="3" t="s">
        <v>15</v>
      </c>
      <c r="K73" s="3" t="s">
        <v>107</v>
      </c>
      <c r="L73" s="3" t="s">
        <v>108</v>
      </c>
    </row>
    <row r="74" spans="1:12" x14ac:dyDescent="0.35">
      <c r="A74" s="3">
        <v>73</v>
      </c>
      <c r="B74" s="3" t="s">
        <v>126</v>
      </c>
      <c r="C74" s="3" t="s">
        <v>190</v>
      </c>
      <c r="D74" s="4">
        <v>1</v>
      </c>
      <c r="E74" s="5">
        <v>42069</v>
      </c>
      <c r="F74" s="6">
        <v>0.69975694444444436</v>
      </c>
      <c r="G74" s="7">
        <v>10.5</v>
      </c>
      <c r="H74" s="7">
        <f t="shared" si="1"/>
        <v>10.5</v>
      </c>
      <c r="I74" s="3" t="s">
        <v>45</v>
      </c>
      <c r="J74" s="3" t="s">
        <v>15</v>
      </c>
      <c r="K74" s="3" t="s">
        <v>107</v>
      </c>
      <c r="L74" s="3" t="s">
        <v>108</v>
      </c>
    </row>
    <row r="75" spans="1:12" x14ac:dyDescent="0.35">
      <c r="A75" s="3">
        <v>74</v>
      </c>
      <c r="B75" s="3" t="s">
        <v>191</v>
      </c>
      <c r="C75" s="3" t="s">
        <v>192</v>
      </c>
      <c r="D75" s="4">
        <v>1</v>
      </c>
      <c r="E75" s="5">
        <v>42070</v>
      </c>
      <c r="F75" s="6">
        <v>0.78186342592592595</v>
      </c>
      <c r="G75" s="7">
        <v>20.75</v>
      </c>
      <c r="H75" s="7">
        <f t="shared" si="1"/>
        <v>20.75</v>
      </c>
      <c r="I75" s="3" t="s">
        <v>20</v>
      </c>
      <c r="J75" s="3" t="s">
        <v>26</v>
      </c>
      <c r="K75" s="3" t="s">
        <v>166</v>
      </c>
      <c r="L75" s="3" t="s">
        <v>167</v>
      </c>
    </row>
    <row r="76" spans="1:12" x14ac:dyDescent="0.35">
      <c r="A76" s="3">
        <v>75</v>
      </c>
      <c r="B76" s="3" t="s">
        <v>175</v>
      </c>
      <c r="C76" s="3" t="s">
        <v>193</v>
      </c>
      <c r="D76" s="4">
        <v>1</v>
      </c>
      <c r="E76" s="5">
        <v>42072</v>
      </c>
      <c r="F76" s="6">
        <v>0.58736111111111111</v>
      </c>
      <c r="G76" s="7">
        <v>12</v>
      </c>
      <c r="H76" s="7">
        <f t="shared" si="1"/>
        <v>12</v>
      </c>
      <c r="I76" s="3" t="s">
        <v>45</v>
      </c>
      <c r="J76" s="3" t="s">
        <v>15</v>
      </c>
      <c r="K76" s="3" t="s">
        <v>16</v>
      </c>
      <c r="L76" s="3" t="s">
        <v>17</v>
      </c>
    </row>
    <row r="77" spans="1:12" x14ac:dyDescent="0.35">
      <c r="A77" s="3">
        <v>76</v>
      </c>
      <c r="B77" s="3" t="s">
        <v>120</v>
      </c>
      <c r="C77" s="3" t="s">
        <v>194</v>
      </c>
      <c r="D77" s="4">
        <v>3</v>
      </c>
      <c r="E77" s="5">
        <v>42074</v>
      </c>
      <c r="F77" s="6">
        <v>0.89956018518518521</v>
      </c>
      <c r="G77" s="7">
        <v>16</v>
      </c>
      <c r="H77" s="7">
        <f t="shared" si="1"/>
        <v>48</v>
      </c>
      <c r="I77" s="3" t="s">
        <v>14</v>
      </c>
      <c r="J77" s="3" t="s">
        <v>26</v>
      </c>
      <c r="K77" s="3" t="s">
        <v>122</v>
      </c>
      <c r="L77" s="3" t="s">
        <v>123</v>
      </c>
    </row>
    <row r="78" spans="1:12" x14ac:dyDescent="0.35">
      <c r="A78" s="3">
        <v>77</v>
      </c>
      <c r="B78" s="3" t="s">
        <v>195</v>
      </c>
      <c r="C78" s="3" t="s">
        <v>196</v>
      </c>
      <c r="D78" s="4">
        <v>1</v>
      </c>
      <c r="E78" s="5">
        <v>42076</v>
      </c>
      <c r="F78" s="6">
        <v>0.53009259259259256</v>
      </c>
      <c r="G78" s="7">
        <v>12</v>
      </c>
      <c r="H78" s="7">
        <f t="shared" si="1"/>
        <v>12</v>
      </c>
      <c r="I78" s="3" t="s">
        <v>45</v>
      </c>
      <c r="J78" s="3" t="s">
        <v>26</v>
      </c>
      <c r="K78" s="3" t="s">
        <v>197</v>
      </c>
      <c r="L78" s="3" t="s">
        <v>198</v>
      </c>
    </row>
    <row r="79" spans="1:12" x14ac:dyDescent="0.35">
      <c r="A79" s="3">
        <v>78</v>
      </c>
      <c r="B79" s="3" t="s">
        <v>170</v>
      </c>
      <c r="C79" s="3" t="s">
        <v>199</v>
      </c>
      <c r="D79" s="4">
        <v>1</v>
      </c>
      <c r="E79" s="5">
        <v>42076</v>
      </c>
      <c r="F79" s="6">
        <v>0.74618055555555562</v>
      </c>
      <c r="G79" s="7">
        <v>12</v>
      </c>
      <c r="H79" s="7">
        <f t="shared" si="1"/>
        <v>12</v>
      </c>
      <c r="I79" s="3" t="s">
        <v>45</v>
      </c>
      <c r="J79" s="3" t="s">
        <v>15</v>
      </c>
      <c r="K79" s="3" t="s">
        <v>172</v>
      </c>
      <c r="L79" s="3" t="s">
        <v>173</v>
      </c>
    </row>
    <row r="80" spans="1:12" x14ac:dyDescent="0.35">
      <c r="A80" s="3">
        <v>79</v>
      </c>
      <c r="B80" s="3" t="s">
        <v>58</v>
      </c>
      <c r="C80" s="3" t="s">
        <v>200</v>
      </c>
      <c r="D80" s="4">
        <v>1</v>
      </c>
      <c r="E80" s="5">
        <v>42076</v>
      </c>
      <c r="F80" s="6">
        <v>0.80839120370370365</v>
      </c>
      <c r="G80" s="7">
        <v>17.95</v>
      </c>
      <c r="H80" s="7">
        <f t="shared" si="1"/>
        <v>17.95</v>
      </c>
      <c r="I80" s="3" t="s">
        <v>20</v>
      </c>
      <c r="J80" s="3" t="s">
        <v>26</v>
      </c>
      <c r="K80" s="3" t="s">
        <v>60</v>
      </c>
      <c r="L80" s="3" t="s">
        <v>61</v>
      </c>
    </row>
    <row r="81" spans="1:12" x14ac:dyDescent="0.35">
      <c r="A81" s="3">
        <v>80</v>
      </c>
      <c r="B81" s="3" t="s">
        <v>201</v>
      </c>
      <c r="C81" s="3" t="s">
        <v>202</v>
      </c>
      <c r="D81" s="4">
        <v>1</v>
      </c>
      <c r="E81" s="5">
        <v>42077</v>
      </c>
      <c r="F81" s="6">
        <v>0.59180555555555558</v>
      </c>
      <c r="G81" s="7">
        <v>16.5</v>
      </c>
      <c r="H81" s="7">
        <f t="shared" si="1"/>
        <v>16.5</v>
      </c>
      <c r="I81" s="3" t="s">
        <v>14</v>
      </c>
      <c r="J81" s="3" t="s">
        <v>31</v>
      </c>
      <c r="K81" s="3" t="s">
        <v>50</v>
      </c>
      <c r="L81" s="3" t="s">
        <v>51</v>
      </c>
    </row>
    <row r="82" spans="1:12" x14ac:dyDescent="0.35">
      <c r="A82" s="3">
        <v>81</v>
      </c>
      <c r="B82" s="3" t="s">
        <v>203</v>
      </c>
      <c r="C82" s="3" t="s">
        <v>204</v>
      </c>
      <c r="D82" s="4">
        <v>1</v>
      </c>
      <c r="E82" s="5">
        <v>42078</v>
      </c>
      <c r="F82" s="6">
        <v>0.66717592592592589</v>
      </c>
      <c r="G82" s="7">
        <v>16.5</v>
      </c>
      <c r="H82" s="7">
        <f t="shared" si="1"/>
        <v>16.5</v>
      </c>
      <c r="I82" s="3" t="s">
        <v>14</v>
      </c>
      <c r="J82" s="3" t="s">
        <v>31</v>
      </c>
      <c r="K82" s="3" t="s">
        <v>68</v>
      </c>
      <c r="L82" s="3" t="s">
        <v>69</v>
      </c>
    </row>
    <row r="83" spans="1:12" x14ac:dyDescent="0.35">
      <c r="A83" s="3">
        <v>82</v>
      </c>
      <c r="B83" s="3" t="s">
        <v>144</v>
      </c>
      <c r="C83" s="3" t="s">
        <v>205</v>
      </c>
      <c r="D83" s="4">
        <v>1</v>
      </c>
      <c r="E83" s="5">
        <v>42078</v>
      </c>
      <c r="F83" s="6">
        <v>0.69313657407407403</v>
      </c>
      <c r="G83" s="7">
        <v>20.25</v>
      </c>
      <c r="H83" s="7">
        <f t="shared" si="1"/>
        <v>20.25</v>
      </c>
      <c r="I83" s="3" t="s">
        <v>20</v>
      </c>
      <c r="J83" s="3" t="s">
        <v>31</v>
      </c>
      <c r="K83" s="3" t="s">
        <v>146</v>
      </c>
      <c r="L83" s="3" t="s">
        <v>147</v>
      </c>
    </row>
    <row r="84" spans="1:12" x14ac:dyDescent="0.35">
      <c r="A84" s="3">
        <v>83</v>
      </c>
      <c r="B84" s="3" t="s">
        <v>18</v>
      </c>
      <c r="C84" s="3" t="s">
        <v>206</v>
      </c>
      <c r="D84" s="4">
        <v>1</v>
      </c>
      <c r="E84" s="5">
        <v>42079</v>
      </c>
      <c r="F84" s="6">
        <v>0.77018518518518519</v>
      </c>
      <c r="G84" s="7">
        <v>20.75</v>
      </c>
      <c r="H84" s="7">
        <f t="shared" si="1"/>
        <v>20.75</v>
      </c>
      <c r="I84" s="3" t="s">
        <v>20</v>
      </c>
      <c r="J84" s="3" t="s">
        <v>21</v>
      </c>
      <c r="K84" s="3" t="s">
        <v>22</v>
      </c>
      <c r="L84" s="3" t="s">
        <v>23</v>
      </c>
    </row>
    <row r="85" spans="1:12" x14ac:dyDescent="0.35">
      <c r="A85" s="3">
        <v>84</v>
      </c>
      <c r="B85" s="3" t="s">
        <v>153</v>
      </c>
      <c r="C85" s="3" t="s">
        <v>207</v>
      </c>
      <c r="D85" s="4">
        <v>1</v>
      </c>
      <c r="E85" s="5">
        <v>42079</v>
      </c>
      <c r="F85" s="6">
        <v>0.80016203703703714</v>
      </c>
      <c r="G85" s="7">
        <v>16.25</v>
      </c>
      <c r="H85" s="7">
        <f t="shared" si="1"/>
        <v>16.25</v>
      </c>
      <c r="I85" s="3" t="s">
        <v>14</v>
      </c>
      <c r="J85" s="3" t="s">
        <v>31</v>
      </c>
      <c r="K85" s="3" t="s">
        <v>76</v>
      </c>
      <c r="L85" s="3" t="s">
        <v>77</v>
      </c>
    </row>
    <row r="86" spans="1:12" x14ac:dyDescent="0.35">
      <c r="A86" s="3">
        <v>85</v>
      </c>
      <c r="B86" s="3" t="s">
        <v>208</v>
      </c>
      <c r="C86" s="3" t="s">
        <v>209</v>
      </c>
      <c r="D86" s="4">
        <v>1</v>
      </c>
      <c r="E86" s="5">
        <v>42079</v>
      </c>
      <c r="F86" s="6">
        <v>0.8246296296296296</v>
      </c>
      <c r="G86" s="7">
        <v>21</v>
      </c>
      <c r="H86" s="7">
        <f t="shared" si="1"/>
        <v>21</v>
      </c>
      <c r="I86" s="3" t="s">
        <v>20</v>
      </c>
      <c r="J86" s="3" t="s">
        <v>26</v>
      </c>
      <c r="K86" s="3" t="s">
        <v>72</v>
      </c>
      <c r="L86" s="3" t="s">
        <v>73</v>
      </c>
    </row>
    <row r="87" spans="1:12" x14ac:dyDescent="0.35">
      <c r="A87" s="3">
        <v>86</v>
      </c>
      <c r="B87" s="3" t="s">
        <v>210</v>
      </c>
      <c r="C87" s="3" t="s">
        <v>211</v>
      </c>
      <c r="D87" s="4">
        <v>1</v>
      </c>
      <c r="E87" s="5">
        <v>42080</v>
      </c>
      <c r="F87" s="6">
        <v>0.48873842592592592</v>
      </c>
      <c r="G87" s="7">
        <v>12.75</v>
      </c>
      <c r="H87" s="7">
        <f t="shared" si="1"/>
        <v>12.75</v>
      </c>
      <c r="I87" s="3" t="s">
        <v>45</v>
      </c>
      <c r="J87" s="3" t="s">
        <v>21</v>
      </c>
      <c r="K87" s="3" t="s">
        <v>103</v>
      </c>
      <c r="L87" s="3" t="s">
        <v>104</v>
      </c>
    </row>
    <row r="88" spans="1:12" x14ac:dyDescent="0.35">
      <c r="A88" s="3">
        <v>87</v>
      </c>
      <c r="B88" s="3" t="s">
        <v>212</v>
      </c>
      <c r="C88" s="3" t="s">
        <v>213</v>
      </c>
      <c r="D88" s="4">
        <v>1</v>
      </c>
      <c r="E88" s="5">
        <v>42080</v>
      </c>
      <c r="F88" s="6">
        <v>0.58168981481481474</v>
      </c>
      <c r="G88" s="7">
        <v>12.5</v>
      </c>
      <c r="H88" s="7">
        <f t="shared" si="1"/>
        <v>12.5</v>
      </c>
      <c r="I88" s="3" t="s">
        <v>45</v>
      </c>
      <c r="J88" s="3" t="s">
        <v>31</v>
      </c>
      <c r="K88" s="3" t="s">
        <v>50</v>
      </c>
      <c r="L88" s="3" t="s">
        <v>51</v>
      </c>
    </row>
    <row r="89" spans="1:12" x14ac:dyDescent="0.35">
      <c r="A89" s="3">
        <v>88</v>
      </c>
      <c r="B89" s="3" t="s">
        <v>58</v>
      </c>
      <c r="C89" s="3" t="s">
        <v>214</v>
      </c>
      <c r="D89" s="4">
        <v>1</v>
      </c>
      <c r="E89" s="5">
        <v>42086</v>
      </c>
      <c r="F89" s="6">
        <v>0.82695601851851863</v>
      </c>
      <c r="G89" s="7">
        <v>17.95</v>
      </c>
      <c r="H89" s="7">
        <f t="shared" si="1"/>
        <v>17.95</v>
      </c>
      <c r="I89" s="3" t="s">
        <v>20</v>
      </c>
      <c r="J89" s="3" t="s">
        <v>26</v>
      </c>
      <c r="K89" s="3" t="s">
        <v>60</v>
      </c>
      <c r="L89" s="3" t="s">
        <v>61</v>
      </c>
    </row>
    <row r="90" spans="1:12" x14ac:dyDescent="0.35">
      <c r="A90" s="3">
        <v>89</v>
      </c>
      <c r="B90" s="3" t="s">
        <v>215</v>
      </c>
      <c r="C90" s="3" t="s">
        <v>216</v>
      </c>
      <c r="D90" s="4">
        <v>1</v>
      </c>
      <c r="E90" s="5">
        <v>42090</v>
      </c>
      <c r="F90" s="6">
        <v>0.76165509259259256</v>
      </c>
      <c r="G90" s="7">
        <v>12</v>
      </c>
      <c r="H90" s="7">
        <f t="shared" si="1"/>
        <v>12</v>
      </c>
      <c r="I90" s="3" t="s">
        <v>45</v>
      </c>
      <c r="J90" s="3" t="s">
        <v>26</v>
      </c>
      <c r="K90" s="3" t="s">
        <v>122</v>
      </c>
      <c r="L90" s="3" t="s">
        <v>123</v>
      </c>
    </row>
    <row r="91" spans="1:12" x14ac:dyDescent="0.35">
      <c r="A91" s="3">
        <v>90</v>
      </c>
      <c r="B91" s="3" t="s">
        <v>201</v>
      </c>
      <c r="C91" s="3" t="s">
        <v>217</v>
      </c>
      <c r="D91" s="4">
        <v>1</v>
      </c>
      <c r="E91" s="5">
        <v>42090</v>
      </c>
      <c r="F91" s="6">
        <v>0.76347222222222222</v>
      </c>
      <c r="G91" s="7">
        <v>16.5</v>
      </c>
      <c r="H91" s="7">
        <f t="shared" si="1"/>
        <v>16.5</v>
      </c>
      <c r="I91" s="3" t="s">
        <v>14</v>
      </c>
      <c r="J91" s="3" t="s">
        <v>31</v>
      </c>
      <c r="K91" s="3" t="s">
        <v>50</v>
      </c>
      <c r="L91" s="3" t="s">
        <v>51</v>
      </c>
    </row>
    <row r="92" spans="1:12" x14ac:dyDescent="0.35">
      <c r="A92" s="3">
        <v>91</v>
      </c>
      <c r="B92" s="3" t="s">
        <v>218</v>
      </c>
      <c r="C92" s="3" t="s">
        <v>219</v>
      </c>
      <c r="D92" s="4">
        <v>1</v>
      </c>
      <c r="E92" s="5">
        <v>42091</v>
      </c>
      <c r="F92" s="6">
        <v>0.61668981481481489</v>
      </c>
      <c r="G92" s="7">
        <v>16.75</v>
      </c>
      <c r="H92" s="7">
        <f t="shared" si="1"/>
        <v>16.75</v>
      </c>
      <c r="I92" s="3" t="s">
        <v>14</v>
      </c>
      <c r="J92" s="3" t="s">
        <v>21</v>
      </c>
      <c r="K92" s="3" t="s">
        <v>140</v>
      </c>
      <c r="L92" s="3" t="s">
        <v>141</v>
      </c>
    </row>
    <row r="93" spans="1:12" x14ac:dyDescent="0.35">
      <c r="A93" s="3">
        <v>92</v>
      </c>
      <c r="B93" s="3" t="s">
        <v>101</v>
      </c>
      <c r="C93" s="3" t="s">
        <v>220</v>
      </c>
      <c r="D93" s="4">
        <v>1</v>
      </c>
      <c r="E93" s="5">
        <v>42092</v>
      </c>
      <c r="F93" s="6">
        <v>0.52651620370370367</v>
      </c>
      <c r="G93" s="7">
        <v>20.75</v>
      </c>
      <c r="H93" s="7">
        <f t="shared" si="1"/>
        <v>20.75</v>
      </c>
      <c r="I93" s="3" t="s">
        <v>20</v>
      </c>
      <c r="J93" s="3" t="s">
        <v>21</v>
      </c>
      <c r="K93" s="3" t="s">
        <v>103</v>
      </c>
      <c r="L93" s="3" t="s">
        <v>104</v>
      </c>
    </row>
    <row r="94" spans="1:12" x14ac:dyDescent="0.35">
      <c r="A94" s="3">
        <v>93</v>
      </c>
      <c r="B94" s="3" t="s">
        <v>221</v>
      </c>
      <c r="C94" s="3" t="s">
        <v>134</v>
      </c>
      <c r="D94" s="4">
        <v>1</v>
      </c>
      <c r="E94" s="5">
        <v>42093</v>
      </c>
      <c r="F94" s="6">
        <v>0.70560185185185187</v>
      </c>
      <c r="G94" s="7">
        <v>16.25</v>
      </c>
      <c r="H94" s="7">
        <f t="shared" si="1"/>
        <v>16.25</v>
      </c>
      <c r="I94" s="3" t="s">
        <v>14</v>
      </c>
      <c r="J94" s="3" t="s">
        <v>31</v>
      </c>
      <c r="K94" s="3" t="s">
        <v>146</v>
      </c>
      <c r="L94" s="3" t="s">
        <v>147</v>
      </c>
    </row>
    <row r="95" spans="1:12" x14ac:dyDescent="0.35">
      <c r="A95" s="3">
        <v>94</v>
      </c>
      <c r="B95" s="3" t="s">
        <v>24</v>
      </c>
      <c r="C95" s="3" t="s">
        <v>222</v>
      </c>
      <c r="D95" s="4">
        <v>1</v>
      </c>
      <c r="E95" s="5">
        <v>42094</v>
      </c>
      <c r="F95" s="6">
        <v>0.53386574074074067</v>
      </c>
      <c r="G95" s="7">
        <v>18.5</v>
      </c>
      <c r="H95" s="7">
        <f t="shared" si="1"/>
        <v>18.5</v>
      </c>
      <c r="I95" s="3" t="s">
        <v>20</v>
      </c>
      <c r="J95" s="3" t="s">
        <v>26</v>
      </c>
      <c r="K95" s="3" t="s">
        <v>27</v>
      </c>
      <c r="L95" s="3" t="s">
        <v>28</v>
      </c>
    </row>
    <row r="96" spans="1:12" x14ac:dyDescent="0.35">
      <c r="A96" s="3">
        <v>95</v>
      </c>
      <c r="B96" s="3" t="s">
        <v>66</v>
      </c>
      <c r="C96" s="3" t="s">
        <v>223</v>
      </c>
      <c r="D96" s="4">
        <v>1</v>
      </c>
      <c r="E96" s="5">
        <v>42094</v>
      </c>
      <c r="F96" s="6">
        <v>0.92018518518518511</v>
      </c>
      <c r="G96" s="7">
        <v>20.75</v>
      </c>
      <c r="H96" s="7">
        <f t="shared" si="1"/>
        <v>20.75</v>
      </c>
      <c r="I96" s="3" t="s">
        <v>20</v>
      </c>
      <c r="J96" s="3" t="s">
        <v>31</v>
      </c>
      <c r="K96" s="3" t="s">
        <v>68</v>
      </c>
      <c r="L96" s="3" t="s">
        <v>69</v>
      </c>
    </row>
    <row r="97" spans="1:12" x14ac:dyDescent="0.35">
      <c r="A97" s="3">
        <v>96</v>
      </c>
      <c r="B97" s="3" t="s">
        <v>151</v>
      </c>
      <c r="C97" s="3" t="s">
        <v>119</v>
      </c>
      <c r="D97" s="4">
        <v>1</v>
      </c>
      <c r="E97" s="5">
        <v>42095</v>
      </c>
      <c r="F97" s="6">
        <v>0.81200231481481477</v>
      </c>
      <c r="G97" s="7">
        <v>20.75</v>
      </c>
      <c r="H97" s="7">
        <f t="shared" si="1"/>
        <v>20.75</v>
      </c>
      <c r="I97" s="3" t="s">
        <v>20</v>
      </c>
      <c r="J97" s="3" t="s">
        <v>31</v>
      </c>
      <c r="K97" s="3" t="s">
        <v>88</v>
      </c>
      <c r="L97" s="3" t="s">
        <v>89</v>
      </c>
    </row>
    <row r="98" spans="1:12" x14ac:dyDescent="0.35">
      <c r="A98" s="3">
        <v>97</v>
      </c>
      <c r="B98" s="3" t="s">
        <v>101</v>
      </c>
      <c r="C98" s="3" t="s">
        <v>224</v>
      </c>
      <c r="D98" s="4">
        <v>1</v>
      </c>
      <c r="E98" s="5">
        <v>42096</v>
      </c>
      <c r="F98" s="6">
        <v>0.80714120370370368</v>
      </c>
      <c r="G98" s="7">
        <v>20.75</v>
      </c>
      <c r="H98" s="7">
        <f t="shared" si="1"/>
        <v>20.75</v>
      </c>
      <c r="I98" s="3" t="s">
        <v>20</v>
      </c>
      <c r="J98" s="3" t="s">
        <v>21</v>
      </c>
      <c r="K98" s="3" t="s">
        <v>103</v>
      </c>
      <c r="L98" s="3" t="s">
        <v>104</v>
      </c>
    </row>
    <row r="99" spans="1:12" x14ac:dyDescent="0.35">
      <c r="A99" s="3">
        <v>98</v>
      </c>
      <c r="B99" s="3" t="s">
        <v>175</v>
      </c>
      <c r="C99" s="3" t="s">
        <v>225</v>
      </c>
      <c r="D99" s="4">
        <v>1</v>
      </c>
      <c r="E99" s="5">
        <v>42098</v>
      </c>
      <c r="F99" s="6">
        <v>0.52758101851851846</v>
      </c>
      <c r="G99" s="7">
        <v>12</v>
      </c>
      <c r="H99" s="7">
        <f t="shared" si="1"/>
        <v>12</v>
      </c>
      <c r="I99" s="3" t="s">
        <v>45</v>
      </c>
      <c r="J99" s="3" t="s">
        <v>15</v>
      </c>
      <c r="K99" s="3" t="s">
        <v>16</v>
      </c>
      <c r="L99" s="3" t="s">
        <v>17</v>
      </c>
    </row>
    <row r="100" spans="1:12" x14ac:dyDescent="0.35">
      <c r="A100" s="3">
        <v>99</v>
      </c>
      <c r="B100" s="3" t="s">
        <v>29</v>
      </c>
      <c r="C100" s="3" t="s">
        <v>226</v>
      </c>
      <c r="D100" s="4">
        <v>1</v>
      </c>
      <c r="E100" s="5">
        <v>42100</v>
      </c>
      <c r="F100" s="6">
        <v>0.47043981481481478</v>
      </c>
      <c r="G100" s="7">
        <v>20.75</v>
      </c>
      <c r="H100" s="7">
        <f t="shared" si="1"/>
        <v>20.75</v>
      </c>
      <c r="I100" s="3" t="s">
        <v>20</v>
      </c>
      <c r="J100" s="3" t="s">
        <v>31</v>
      </c>
      <c r="K100" s="3" t="s">
        <v>32</v>
      </c>
      <c r="L100" s="3" t="s">
        <v>33</v>
      </c>
    </row>
    <row r="101" spans="1:12" x14ac:dyDescent="0.35">
      <c r="A101" s="3">
        <v>100</v>
      </c>
      <c r="B101" s="3" t="s">
        <v>227</v>
      </c>
      <c r="C101" s="3" t="s">
        <v>228</v>
      </c>
      <c r="D101" s="4">
        <v>1</v>
      </c>
      <c r="E101" s="5">
        <v>42100</v>
      </c>
      <c r="F101" s="6">
        <v>0.55921296296296297</v>
      </c>
      <c r="G101" s="7">
        <v>12</v>
      </c>
      <c r="H101" s="7">
        <f t="shared" si="1"/>
        <v>12</v>
      </c>
      <c r="I101" s="3" t="s">
        <v>45</v>
      </c>
      <c r="J101" s="3" t="s">
        <v>15</v>
      </c>
      <c r="K101" s="3" t="s">
        <v>37</v>
      </c>
      <c r="L101" s="3" t="s">
        <v>38</v>
      </c>
    </row>
    <row r="102" spans="1:12" x14ac:dyDescent="0.35">
      <c r="A102" s="3">
        <v>101</v>
      </c>
      <c r="B102" s="3" t="s">
        <v>229</v>
      </c>
      <c r="C102" s="3" t="s">
        <v>230</v>
      </c>
      <c r="D102" s="4">
        <v>1</v>
      </c>
      <c r="E102" s="5">
        <v>42100</v>
      </c>
      <c r="F102" s="6">
        <v>0.55921296296296297</v>
      </c>
      <c r="G102" s="7">
        <v>20.25</v>
      </c>
      <c r="H102" s="7">
        <f t="shared" si="1"/>
        <v>20.25</v>
      </c>
      <c r="I102" s="3" t="s">
        <v>20</v>
      </c>
      <c r="J102" s="3" t="s">
        <v>26</v>
      </c>
      <c r="K102" s="3" t="s">
        <v>122</v>
      </c>
      <c r="L102" s="3" t="s">
        <v>123</v>
      </c>
    </row>
    <row r="103" spans="1:12" x14ac:dyDescent="0.35">
      <c r="A103" s="3">
        <v>102</v>
      </c>
      <c r="B103" s="3" t="s">
        <v>34</v>
      </c>
      <c r="C103" s="3" t="s">
        <v>231</v>
      </c>
      <c r="D103" s="4">
        <v>1</v>
      </c>
      <c r="E103" s="5">
        <v>42100</v>
      </c>
      <c r="F103" s="6">
        <v>0.7034259259259259</v>
      </c>
      <c r="G103" s="7">
        <v>25.5</v>
      </c>
      <c r="H103" s="7">
        <f t="shared" si="1"/>
        <v>25.5</v>
      </c>
      <c r="I103" s="3" t="s">
        <v>36</v>
      </c>
      <c r="J103" s="3" t="s">
        <v>15</v>
      </c>
      <c r="K103" s="3" t="s">
        <v>37</v>
      </c>
      <c r="L103" s="3" t="s">
        <v>38</v>
      </c>
    </row>
    <row r="104" spans="1:12" x14ac:dyDescent="0.35">
      <c r="A104" s="3">
        <v>103</v>
      </c>
      <c r="B104" s="3" t="s">
        <v>79</v>
      </c>
      <c r="C104" s="3" t="s">
        <v>232</v>
      </c>
      <c r="D104" s="4">
        <v>1</v>
      </c>
      <c r="E104" s="5">
        <v>42102</v>
      </c>
      <c r="F104" s="6">
        <v>0.71403935185185186</v>
      </c>
      <c r="G104" s="7">
        <v>12.75</v>
      </c>
      <c r="H104" s="7">
        <f t="shared" si="1"/>
        <v>12.75</v>
      </c>
      <c r="I104" s="3" t="s">
        <v>45</v>
      </c>
      <c r="J104" s="3" t="s">
        <v>21</v>
      </c>
      <c r="K104" s="3" t="s">
        <v>81</v>
      </c>
      <c r="L104" s="3" t="s">
        <v>82</v>
      </c>
    </row>
    <row r="105" spans="1:12" x14ac:dyDescent="0.35">
      <c r="A105" s="3">
        <v>104</v>
      </c>
      <c r="B105" s="3" t="s">
        <v>170</v>
      </c>
      <c r="C105" s="3" t="s">
        <v>233</v>
      </c>
      <c r="D105" s="4">
        <v>1</v>
      </c>
      <c r="E105" s="5">
        <v>42102</v>
      </c>
      <c r="F105" s="6">
        <v>0.72807870370370376</v>
      </c>
      <c r="G105" s="7">
        <v>12</v>
      </c>
      <c r="H105" s="7">
        <f t="shared" si="1"/>
        <v>12</v>
      </c>
      <c r="I105" s="3" t="s">
        <v>45</v>
      </c>
      <c r="J105" s="3" t="s">
        <v>15</v>
      </c>
      <c r="K105" s="3" t="s">
        <v>172</v>
      </c>
      <c r="L105" s="3" t="s">
        <v>173</v>
      </c>
    </row>
    <row r="106" spans="1:12" x14ac:dyDescent="0.35">
      <c r="A106" s="3">
        <v>105</v>
      </c>
      <c r="B106" s="3" t="s">
        <v>234</v>
      </c>
      <c r="C106" s="3" t="s">
        <v>235</v>
      </c>
      <c r="D106" s="4">
        <v>1</v>
      </c>
      <c r="E106" s="5">
        <v>42103</v>
      </c>
      <c r="F106" s="6">
        <v>0.49037037037037035</v>
      </c>
      <c r="G106" s="7">
        <v>16</v>
      </c>
      <c r="H106" s="7">
        <f t="shared" si="1"/>
        <v>16</v>
      </c>
      <c r="I106" s="3" t="s">
        <v>14</v>
      </c>
      <c r="J106" s="3" t="s">
        <v>26</v>
      </c>
      <c r="K106" s="3" t="s">
        <v>197</v>
      </c>
      <c r="L106" s="3" t="s">
        <v>198</v>
      </c>
    </row>
    <row r="107" spans="1:12" x14ac:dyDescent="0.35">
      <c r="A107" s="3">
        <v>106</v>
      </c>
      <c r="B107" s="3" t="s">
        <v>203</v>
      </c>
      <c r="C107" s="3" t="s">
        <v>236</v>
      </c>
      <c r="D107" s="4">
        <v>1</v>
      </c>
      <c r="E107" s="5">
        <v>42103</v>
      </c>
      <c r="F107" s="6">
        <v>0.4972569444444444</v>
      </c>
      <c r="G107" s="7">
        <v>16.5</v>
      </c>
      <c r="H107" s="7">
        <f t="shared" si="1"/>
        <v>16.5</v>
      </c>
      <c r="I107" s="3" t="s">
        <v>14</v>
      </c>
      <c r="J107" s="3" t="s">
        <v>31</v>
      </c>
      <c r="K107" s="3" t="s">
        <v>68</v>
      </c>
      <c r="L107" s="3" t="s">
        <v>69</v>
      </c>
    </row>
    <row r="108" spans="1:12" x14ac:dyDescent="0.35">
      <c r="A108" s="3">
        <v>107</v>
      </c>
      <c r="B108" s="3" t="s">
        <v>101</v>
      </c>
      <c r="C108" s="3" t="s">
        <v>237</v>
      </c>
      <c r="D108" s="4">
        <v>1</v>
      </c>
      <c r="E108" s="5">
        <v>42103</v>
      </c>
      <c r="F108" s="6">
        <v>0.68511574074074078</v>
      </c>
      <c r="G108" s="7">
        <v>20.75</v>
      </c>
      <c r="H108" s="7">
        <f t="shared" si="1"/>
        <v>20.75</v>
      </c>
      <c r="I108" s="3" t="s">
        <v>20</v>
      </c>
      <c r="J108" s="3" t="s">
        <v>21</v>
      </c>
      <c r="K108" s="3" t="s">
        <v>103</v>
      </c>
      <c r="L108" s="3" t="s">
        <v>104</v>
      </c>
    </row>
    <row r="109" spans="1:12" x14ac:dyDescent="0.35">
      <c r="A109" s="3">
        <v>108</v>
      </c>
      <c r="B109" s="3" t="s">
        <v>238</v>
      </c>
      <c r="C109" s="3" t="s">
        <v>239</v>
      </c>
      <c r="D109" s="4">
        <v>1</v>
      </c>
      <c r="E109" s="5">
        <v>42105</v>
      </c>
      <c r="F109" s="6">
        <v>0.6888657407407407</v>
      </c>
      <c r="G109" s="7">
        <v>20.25</v>
      </c>
      <c r="H109" s="7">
        <f t="shared" si="1"/>
        <v>20.25</v>
      </c>
      <c r="I109" s="3" t="s">
        <v>20</v>
      </c>
      <c r="J109" s="3" t="s">
        <v>26</v>
      </c>
      <c r="K109" s="3" t="s">
        <v>56</v>
      </c>
      <c r="L109" s="3" t="s">
        <v>57</v>
      </c>
    </row>
    <row r="110" spans="1:12" x14ac:dyDescent="0.35">
      <c r="A110" s="3">
        <v>109</v>
      </c>
      <c r="B110" s="3" t="s">
        <v>12</v>
      </c>
      <c r="C110" s="3" t="s">
        <v>240</v>
      </c>
      <c r="D110" s="4">
        <v>1</v>
      </c>
      <c r="E110" s="5">
        <v>42105</v>
      </c>
      <c r="F110" s="6">
        <v>0.9032175925925926</v>
      </c>
      <c r="G110" s="7">
        <v>16</v>
      </c>
      <c r="H110" s="7">
        <f t="shared" si="1"/>
        <v>16</v>
      </c>
      <c r="I110" s="3" t="s">
        <v>14</v>
      </c>
      <c r="J110" s="3" t="s">
        <v>15</v>
      </c>
      <c r="K110" s="3" t="s">
        <v>16</v>
      </c>
      <c r="L110" s="3" t="s">
        <v>17</v>
      </c>
    </row>
    <row r="111" spans="1:12" x14ac:dyDescent="0.35">
      <c r="A111" s="3">
        <v>110</v>
      </c>
      <c r="B111" s="3" t="s">
        <v>34</v>
      </c>
      <c r="C111" s="3" t="s">
        <v>241</v>
      </c>
      <c r="D111" s="4">
        <v>1</v>
      </c>
      <c r="E111" s="5">
        <v>42105</v>
      </c>
      <c r="F111" s="6">
        <v>0.91311342592592604</v>
      </c>
      <c r="G111" s="7">
        <v>25.5</v>
      </c>
      <c r="H111" s="7">
        <f t="shared" si="1"/>
        <v>25.5</v>
      </c>
      <c r="I111" s="3" t="s">
        <v>36</v>
      </c>
      <c r="J111" s="3" t="s">
        <v>15</v>
      </c>
      <c r="K111" s="3" t="s">
        <v>37</v>
      </c>
      <c r="L111" s="3" t="s">
        <v>38</v>
      </c>
    </row>
    <row r="112" spans="1:12" x14ac:dyDescent="0.35">
      <c r="A112" s="3">
        <v>111</v>
      </c>
      <c r="B112" s="3" t="s">
        <v>39</v>
      </c>
      <c r="C112" s="3" t="s">
        <v>242</v>
      </c>
      <c r="D112" s="4">
        <v>1</v>
      </c>
      <c r="E112" s="5">
        <v>42105</v>
      </c>
      <c r="F112" s="6">
        <v>0.92215277777777782</v>
      </c>
      <c r="G112" s="7">
        <v>15.25</v>
      </c>
      <c r="H112" s="7">
        <f t="shared" si="1"/>
        <v>15.25</v>
      </c>
      <c r="I112" s="3" t="s">
        <v>20</v>
      </c>
      <c r="J112" s="3" t="s">
        <v>15</v>
      </c>
      <c r="K112" s="3" t="s">
        <v>41</v>
      </c>
      <c r="L112" s="3" t="s">
        <v>42</v>
      </c>
    </row>
    <row r="113" spans="1:12" x14ac:dyDescent="0.35">
      <c r="A113" s="3">
        <v>112</v>
      </c>
      <c r="B113" s="3" t="s">
        <v>34</v>
      </c>
      <c r="C113" s="3" t="s">
        <v>243</v>
      </c>
      <c r="D113" s="4">
        <v>1</v>
      </c>
      <c r="E113" s="5">
        <v>42106</v>
      </c>
      <c r="F113" s="6">
        <v>0.49928240740740742</v>
      </c>
      <c r="G113" s="7">
        <v>25.5</v>
      </c>
      <c r="H113" s="7">
        <f t="shared" si="1"/>
        <v>25.5</v>
      </c>
      <c r="I113" s="3" t="s">
        <v>36</v>
      </c>
      <c r="J113" s="3" t="s">
        <v>15</v>
      </c>
      <c r="K113" s="3" t="s">
        <v>37</v>
      </c>
      <c r="L113" s="3" t="s">
        <v>38</v>
      </c>
    </row>
    <row r="114" spans="1:12" x14ac:dyDescent="0.35">
      <c r="A114" s="3">
        <v>113</v>
      </c>
      <c r="B114" s="3" t="s">
        <v>244</v>
      </c>
      <c r="C114" s="3" t="s">
        <v>245</v>
      </c>
      <c r="D114" s="4">
        <v>1</v>
      </c>
      <c r="E114" s="5">
        <v>42107</v>
      </c>
      <c r="F114" s="6">
        <v>0.49055555555555558</v>
      </c>
      <c r="G114" s="7">
        <v>20.75</v>
      </c>
      <c r="H114" s="7">
        <f t="shared" si="1"/>
        <v>20.75</v>
      </c>
      <c r="I114" s="3" t="s">
        <v>20</v>
      </c>
      <c r="J114" s="3" t="s">
        <v>21</v>
      </c>
      <c r="K114" s="3" t="s">
        <v>131</v>
      </c>
      <c r="L114" s="3" t="s">
        <v>132</v>
      </c>
    </row>
    <row r="115" spans="1:12" x14ac:dyDescent="0.35">
      <c r="A115" s="3">
        <v>114</v>
      </c>
      <c r="B115" s="3" t="s">
        <v>111</v>
      </c>
      <c r="C115" s="3" t="s">
        <v>246</v>
      </c>
      <c r="D115" s="4">
        <v>2</v>
      </c>
      <c r="E115" s="5">
        <v>42108</v>
      </c>
      <c r="F115" s="6">
        <v>0.55197916666666669</v>
      </c>
      <c r="G115" s="7">
        <v>20.75</v>
      </c>
      <c r="H115" s="7">
        <f t="shared" si="1"/>
        <v>41.5</v>
      </c>
      <c r="I115" s="3" t="s">
        <v>20</v>
      </c>
      <c r="J115" s="3" t="s">
        <v>21</v>
      </c>
      <c r="K115" s="3" t="s">
        <v>81</v>
      </c>
      <c r="L115" s="3" t="s">
        <v>82</v>
      </c>
    </row>
    <row r="116" spans="1:12" x14ac:dyDescent="0.35">
      <c r="A116" s="3">
        <v>115</v>
      </c>
      <c r="B116" s="3" t="s">
        <v>101</v>
      </c>
      <c r="C116" s="3" t="s">
        <v>247</v>
      </c>
      <c r="D116" s="4">
        <v>1</v>
      </c>
      <c r="E116" s="5">
        <v>42108</v>
      </c>
      <c r="F116" s="6">
        <v>0.87265046296296289</v>
      </c>
      <c r="G116" s="7">
        <v>20.75</v>
      </c>
      <c r="H116" s="7">
        <f t="shared" si="1"/>
        <v>20.75</v>
      </c>
      <c r="I116" s="3" t="s">
        <v>20</v>
      </c>
      <c r="J116" s="3" t="s">
        <v>21</v>
      </c>
      <c r="K116" s="3" t="s">
        <v>103</v>
      </c>
      <c r="L116" s="3" t="s">
        <v>104</v>
      </c>
    </row>
    <row r="117" spans="1:12" x14ac:dyDescent="0.35">
      <c r="A117" s="3">
        <v>116</v>
      </c>
      <c r="B117" s="3" t="s">
        <v>248</v>
      </c>
      <c r="C117" s="3" t="s">
        <v>249</v>
      </c>
      <c r="D117" s="4">
        <v>1</v>
      </c>
      <c r="E117" s="5">
        <v>42110</v>
      </c>
      <c r="F117" s="6">
        <v>0.47614583333333332</v>
      </c>
      <c r="G117" s="7">
        <v>16.75</v>
      </c>
      <c r="H117" s="7">
        <f t="shared" si="1"/>
        <v>16.75</v>
      </c>
      <c r="I117" s="3" t="s">
        <v>14</v>
      </c>
      <c r="J117" s="3" t="s">
        <v>21</v>
      </c>
      <c r="K117" s="3" t="s">
        <v>81</v>
      </c>
      <c r="L117" s="3" t="s">
        <v>82</v>
      </c>
    </row>
    <row r="118" spans="1:12" x14ac:dyDescent="0.35">
      <c r="A118" s="3">
        <v>117</v>
      </c>
      <c r="B118" s="3" t="s">
        <v>58</v>
      </c>
      <c r="C118" s="3" t="s">
        <v>250</v>
      </c>
      <c r="D118" s="4">
        <v>1</v>
      </c>
      <c r="E118" s="5">
        <v>42110</v>
      </c>
      <c r="F118" s="6">
        <v>0.7784375</v>
      </c>
      <c r="G118" s="7">
        <v>17.95</v>
      </c>
      <c r="H118" s="7">
        <f t="shared" si="1"/>
        <v>17.95</v>
      </c>
      <c r="I118" s="3" t="s">
        <v>20</v>
      </c>
      <c r="J118" s="3" t="s">
        <v>26</v>
      </c>
      <c r="K118" s="3" t="s">
        <v>60</v>
      </c>
      <c r="L118" s="3" t="s">
        <v>61</v>
      </c>
    </row>
    <row r="119" spans="1:12" x14ac:dyDescent="0.35">
      <c r="A119" s="3">
        <v>118</v>
      </c>
      <c r="B119" s="3" t="s">
        <v>94</v>
      </c>
      <c r="C119" s="3" t="s">
        <v>251</v>
      </c>
      <c r="D119" s="4">
        <v>1</v>
      </c>
      <c r="E119" s="5">
        <v>42110</v>
      </c>
      <c r="F119" s="6">
        <v>0.80251157407407403</v>
      </c>
      <c r="G119" s="7">
        <v>9.75</v>
      </c>
      <c r="H119" s="7">
        <f t="shared" si="1"/>
        <v>9.75</v>
      </c>
      <c r="I119" s="3" t="s">
        <v>45</v>
      </c>
      <c r="J119" s="3" t="s">
        <v>15</v>
      </c>
      <c r="K119" s="3" t="s">
        <v>41</v>
      </c>
      <c r="L119" s="3" t="s">
        <v>42</v>
      </c>
    </row>
    <row r="120" spans="1:12" x14ac:dyDescent="0.35">
      <c r="A120" s="3">
        <v>119</v>
      </c>
      <c r="B120" s="3" t="s">
        <v>66</v>
      </c>
      <c r="C120" s="3" t="s">
        <v>252</v>
      </c>
      <c r="D120" s="4">
        <v>1</v>
      </c>
      <c r="E120" s="5">
        <v>42111</v>
      </c>
      <c r="F120" s="6">
        <v>0.58104166666666668</v>
      </c>
      <c r="G120" s="7">
        <v>20.75</v>
      </c>
      <c r="H120" s="7">
        <f t="shared" si="1"/>
        <v>20.75</v>
      </c>
      <c r="I120" s="3" t="s">
        <v>20</v>
      </c>
      <c r="J120" s="3" t="s">
        <v>31</v>
      </c>
      <c r="K120" s="3" t="s">
        <v>68</v>
      </c>
      <c r="L120" s="3" t="s">
        <v>69</v>
      </c>
    </row>
    <row r="121" spans="1:12" x14ac:dyDescent="0.35">
      <c r="A121" s="3">
        <v>120</v>
      </c>
      <c r="B121" s="3" t="s">
        <v>24</v>
      </c>
      <c r="C121" s="3" t="s">
        <v>253</v>
      </c>
      <c r="D121" s="4">
        <v>1</v>
      </c>
      <c r="E121" s="5">
        <v>42111</v>
      </c>
      <c r="F121" s="6">
        <v>0.62450231481481489</v>
      </c>
      <c r="G121" s="7">
        <v>18.5</v>
      </c>
      <c r="H121" s="7">
        <f t="shared" si="1"/>
        <v>18.5</v>
      </c>
      <c r="I121" s="3" t="s">
        <v>20</v>
      </c>
      <c r="J121" s="3" t="s">
        <v>26</v>
      </c>
      <c r="K121" s="3" t="s">
        <v>27</v>
      </c>
      <c r="L121" s="3" t="s">
        <v>28</v>
      </c>
    </row>
    <row r="122" spans="1:12" x14ac:dyDescent="0.35">
      <c r="A122" s="3">
        <v>121</v>
      </c>
      <c r="B122" s="3" t="s">
        <v>254</v>
      </c>
      <c r="C122" s="3" t="s">
        <v>255</v>
      </c>
      <c r="D122" s="4">
        <v>1</v>
      </c>
      <c r="E122" s="5">
        <v>42111</v>
      </c>
      <c r="F122" s="6">
        <v>0.7225462962962963</v>
      </c>
      <c r="G122" s="7">
        <v>16</v>
      </c>
      <c r="H122" s="7">
        <f t="shared" si="1"/>
        <v>16</v>
      </c>
      <c r="I122" s="3" t="s">
        <v>14</v>
      </c>
      <c r="J122" s="3" t="s">
        <v>15</v>
      </c>
      <c r="K122" s="3" t="s">
        <v>180</v>
      </c>
      <c r="L122" s="3" t="s">
        <v>181</v>
      </c>
    </row>
    <row r="123" spans="1:12" x14ac:dyDescent="0.35">
      <c r="A123" s="3">
        <v>122</v>
      </c>
      <c r="B123" s="3" t="s">
        <v>256</v>
      </c>
      <c r="C123" s="3" t="s">
        <v>257</v>
      </c>
      <c r="D123" s="4">
        <v>1</v>
      </c>
      <c r="E123" s="5">
        <v>42113</v>
      </c>
      <c r="F123" s="6">
        <v>0.66634259259259265</v>
      </c>
      <c r="G123" s="7">
        <v>16.75</v>
      </c>
      <c r="H123" s="7">
        <f t="shared" si="1"/>
        <v>16.75</v>
      </c>
      <c r="I123" s="3" t="s">
        <v>14</v>
      </c>
      <c r="J123" s="3" t="s">
        <v>21</v>
      </c>
      <c r="K123" s="3" t="s">
        <v>22</v>
      </c>
      <c r="L123" s="3" t="s">
        <v>23</v>
      </c>
    </row>
    <row r="124" spans="1:12" x14ac:dyDescent="0.35">
      <c r="A124" s="3">
        <v>123</v>
      </c>
      <c r="B124" s="3" t="s">
        <v>201</v>
      </c>
      <c r="C124" s="3" t="s">
        <v>258</v>
      </c>
      <c r="D124" s="4">
        <v>1</v>
      </c>
      <c r="E124" s="5">
        <v>42115</v>
      </c>
      <c r="F124" s="6">
        <v>0.61872685185185183</v>
      </c>
      <c r="G124" s="7">
        <v>16.5</v>
      </c>
      <c r="H124" s="7">
        <f t="shared" si="1"/>
        <v>16.5</v>
      </c>
      <c r="I124" s="3" t="s">
        <v>14</v>
      </c>
      <c r="J124" s="3" t="s">
        <v>31</v>
      </c>
      <c r="K124" s="3" t="s">
        <v>50</v>
      </c>
      <c r="L124" s="3" t="s">
        <v>51</v>
      </c>
    </row>
    <row r="125" spans="1:12" x14ac:dyDescent="0.35">
      <c r="A125" s="3">
        <v>124</v>
      </c>
      <c r="B125" s="3" t="s">
        <v>153</v>
      </c>
      <c r="C125" s="3" t="s">
        <v>259</v>
      </c>
      <c r="D125" s="4">
        <v>1</v>
      </c>
      <c r="E125" s="5">
        <v>42117</v>
      </c>
      <c r="F125" s="6">
        <v>0.71809027777777779</v>
      </c>
      <c r="G125" s="7">
        <v>16.25</v>
      </c>
      <c r="H125" s="7">
        <f t="shared" si="1"/>
        <v>16.25</v>
      </c>
      <c r="I125" s="3" t="s">
        <v>14</v>
      </c>
      <c r="J125" s="3" t="s">
        <v>31</v>
      </c>
      <c r="K125" s="3" t="s">
        <v>76</v>
      </c>
      <c r="L125" s="3" t="s">
        <v>77</v>
      </c>
    </row>
    <row r="126" spans="1:12" x14ac:dyDescent="0.35">
      <c r="A126" s="3">
        <v>125</v>
      </c>
      <c r="B126" s="3" t="s">
        <v>229</v>
      </c>
      <c r="C126" s="3" t="s">
        <v>260</v>
      </c>
      <c r="D126" s="4">
        <v>1</v>
      </c>
      <c r="E126" s="5">
        <v>42117</v>
      </c>
      <c r="F126" s="6">
        <v>0.74701388888888898</v>
      </c>
      <c r="G126" s="7">
        <v>20.25</v>
      </c>
      <c r="H126" s="7">
        <f t="shared" si="1"/>
        <v>20.25</v>
      </c>
      <c r="I126" s="3" t="s">
        <v>20</v>
      </c>
      <c r="J126" s="3" t="s">
        <v>26</v>
      </c>
      <c r="K126" s="3" t="s">
        <v>122</v>
      </c>
      <c r="L126" s="3" t="s">
        <v>123</v>
      </c>
    </row>
    <row r="127" spans="1:12" x14ac:dyDescent="0.35">
      <c r="A127" s="3">
        <v>126</v>
      </c>
      <c r="B127" s="3" t="s">
        <v>101</v>
      </c>
      <c r="C127" s="3" t="s">
        <v>261</v>
      </c>
      <c r="D127" s="4">
        <v>1</v>
      </c>
      <c r="E127" s="5">
        <v>42118</v>
      </c>
      <c r="F127" s="6">
        <v>0.52233796296296298</v>
      </c>
      <c r="G127" s="7">
        <v>20.75</v>
      </c>
      <c r="H127" s="7">
        <f t="shared" si="1"/>
        <v>20.75</v>
      </c>
      <c r="I127" s="3" t="s">
        <v>20</v>
      </c>
      <c r="J127" s="3" t="s">
        <v>21</v>
      </c>
      <c r="K127" s="3" t="s">
        <v>103</v>
      </c>
      <c r="L127" s="3" t="s">
        <v>104</v>
      </c>
    </row>
    <row r="128" spans="1:12" x14ac:dyDescent="0.35">
      <c r="A128" s="3">
        <v>127</v>
      </c>
      <c r="B128" s="3" t="s">
        <v>70</v>
      </c>
      <c r="C128" s="3" t="s">
        <v>262</v>
      </c>
      <c r="D128" s="4">
        <v>1</v>
      </c>
      <c r="E128" s="5">
        <v>42118</v>
      </c>
      <c r="F128" s="6">
        <v>0.60289351851851858</v>
      </c>
      <c r="G128" s="7">
        <v>16.75</v>
      </c>
      <c r="H128" s="7">
        <f t="shared" si="1"/>
        <v>16.75</v>
      </c>
      <c r="I128" s="3" t="s">
        <v>14</v>
      </c>
      <c r="J128" s="3" t="s">
        <v>26</v>
      </c>
      <c r="K128" s="3" t="s">
        <v>72</v>
      </c>
      <c r="L128" s="3" t="s">
        <v>73</v>
      </c>
    </row>
    <row r="129" spans="1:12" x14ac:dyDescent="0.35">
      <c r="A129" s="3">
        <v>128</v>
      </c>
      <c r="B129" s="3" t="s">
        <v>221</v>
      </c>
      <c r="C129" s="3" t="s">
        <v>263</v>
      </c>
      <c r="D129" s="4">
        <v>1</v>
      </c>
      <c r="E129" s="5">
        <v>42120</v>
      </c>
      <c r="F129" s="6">
        <v>0.50614583333333341</v>
      </c>
      <c r="G129" s="7">
        <v>16.25</v>
      </c>
      <c r="H129" s="7">
        <f t="shared" si="1"/>
        <v>16.25</v>
      </c>
      <c r="I129" s="3" t="s">
        <v>14</v>
      </c>
      <c r="J129" s="3" t="s">
        <v>31</v>
      </c>
      <c r="K129" s="3" t="s">
        <v>146</v>
      </c>
      <c r="L129" s="3" t="s">
        <v>147</v>
      </c>
    </row>
    <row r="130" spans="1:12" x14ac:dyDescent="0.35">
      <c r="A130" s="3">
        <v>129</v>
      </c>
      <c r="B130" s="3" t="s">
        <v>264</v>
      </c>
      <c r="C130" s="3" t="s">
        <v>265</v>
      </c>
      <c r="D130" s="4">
        <v>1</v>
      </c>
      <c r="E130" s="5">
        <v>42123</v>
      </c>
      <c r="F130" s="6">
        <v>0.54206018518518517</v>
      </c>
      <c r="G130" s="7">
        <v>12</v>
      </c>
      <c r="H130" s="7">
        <f t="shared" si="1"/>
        <v>12</v>
      </c>
      <c r="I130" s="3" t="s">
        <v>45</v>
      </c>
      <c r="J130" s="3" t="s">
        <v>26</v>
      </c>
      <c r="K130" s="3" t="s">
        <v>266</v>
      </c>
      <c r="L130" s="3" t="s">
        <v>267</v>
      </c>
    </row>
    <row r="131" spans="1:12" x14ac:dyDescent="0.35">
      <c r="A131" s="3">
        <v>130</v>
      </c>
      <c r="B131" s="3" t="s">
        <v>162</v>
      </c>
      <c r="C131" s="3" t="s">
        <v>268</v>
      </c>
      <c r="D131" s="4">
        <v>1</v>
      </c>
      <c r="E131" s="5">
        <v>42125</v>
      </c>
      <c r="F131" s="6">
        <v>0.66314814814814815</v>
      </c>
      <c r="G131" s="7">
        <v>20.75</v>
      </c>
      <c r="H131" s="7">
        <f t="shared" ref="H131:H194" si="2">G131*D131</f>
        <v>20.75</v>
      </c>
      <c r="I131" s="3" t="s">
        <v>20</v>
      </c>
      <c r="J131" s="3" t="s">
        <v>21</v>
      </c>
      <c r="K131" s="3" t="s">
        <v>92</v>
      </c>
      <c r="L131" s="3" t="s">
        <v>93</v>
      </c>
    </row>
    <row r="132" spans="1:12" x14ac:dyDescent="0.35">
      <c r="A132" s="3">
        <v>131</v>
      </c>
      <c r="B132" s="3" t="s">
        <v>170</v>
      </c>
      <c r="C132" s="3" t="s">
        <v>269</v>
      </c>
      <c r="D132" s="4">
        <v>4</v>
      </c>
      <c r="E132" s="5">
        <v>42125</v>
      </c>
      <c r="F132" s="6">
        <v>0.81172453703703706</v>
      </c>
      <c r="G132" s="7">
        <v>12</v>
      </c>
      <c r="H132" s="7">
        <f t="shared" si="2"/>
        <v>48</v>
      </c>
      <c r="I132" s="3" t="s">
        <v>45</v>
      </c>
      <c r="J132" s="3" t="s">
        <v>15</v>
      </c>
      <c r="K132" s="3" t="s">
        <v>172</v>
      </c>
      <c r="L132" s="3" t="s">
        <v>173</v>
      </c>
    </row>
    <row r="133" spans="1:12" x14ac:dyDescent="0.35">
      <c r="A133" s="3">
        <v>132</v>
      </c>
      <c r="B133" s="3" t="s">
        <v>270</v>
      </c>
      <c r="C133" s="3" t="s">
        <v>271</v>
      </c>
      <c r="D133" s="4">
        <v>1</v>
      </c>
      <c r="E133" s="5">
        <v>42129</v>
      </c>
      <c r="F133" s="6">
        <v>0.54861111111111105</v>
      </c>
      <c r="G133" s="7">
        <v>12.5</v>
      </c>
      <c r="H133" s="7">
        <f t="shared" si="2"/>
        <v>12.5</v>
      </c>
      <c r="I133" s="3" t="s">
        <v>14</v>
      </c>
      <c r="J133" s="3" t="s">
        <v>15</v>
      </c>
      <c r="K133" s="3" t="s">
        <v>41</v>
      </c>
      <c r="L133" s="3" t="s">
        <v>42</v>
      </c>
    </row>
    <row r="134" spans="1:12" x14ac:dyDescent="0.35">
      <c r="A134" s="3">
        <v>133</v>
      </c>
      <c r="B134" s="3" t="s">
        <v>126</v>
      </c>
      <c r="C134" s="3" t="s">
        <v>272</v>
      </c>
      <c r="D134" s="4">
        <v>1</v>
      </c>
      <c r="E134" s="5">
        <v>42129</v>
      </c>
      <c r="F134" s="6">
        <v>0.71506944444444442</v>
      </c>
      <c r="G134" s="7">
        <v>10.5</v>
      </c>
      <c r="H134" s="7">
        <f t="shared" si="2"/>
        <v>10.5</v>
      </c>
      <c r="I134" s="3" t="s">
        <v>45</v>
      </c>
      <c r="J134" s="3" t="s">
        <v>15</v>
      </c>
      <c r="K134" s="3" t="s">
        <v>107</v>
      </c>
      <c r="L134" s="3" t="s">
        <v>108</v>
      </c>
    </row>
    <row r="135" spans="1:12" x14ac:dyDescent="0.35">
      <c r="A135" s="3">
        <v>134</v>
      </c>
      <c r="B135" s="3" t="s">
        <v>170</v>
      </c>
      <c r="C135" s="3" t="s">
        <v>273</v>
      </c>
      <c r="D135" s="4">
        <v>1</v>
      </c>
      <c r="E135" s="5">
        <v>42130</v>
      </c>
      <c r="F135" s="6">
        <v>0.68399305555555545</v>
      </c>
      <c r="G135" s="7">
        <v>12</v>
      </c>
      <c r="H135" s="7">
        <f t="shared" si="2"/>
        <v>12</v>
      </c>
      <c r="I135" s="3" t="s">
        <v>45</v>
      </c>
      <c r="J135" s="3" t="s">
        <v>15</v>
      </c>
      <c r="K135" s="3" t="s">
        <v>172</v>
      </c>
      <c r="L135" s="3" t="s">
        <v>173</v>
      </c>
    </row>
    <row r="136" spans="1:12" x14ac:dyDescent="0.35">
      <c r="A136" s="3">
        <v>135</v>
      </c>
      <c r="B136" s="3" t="s">
        <v>94</v>
      </c>
      <c r="C136" s="3" t="s">
        <v>274</v>
      </c>
      <c r="D136" s="4">
        <v>1</v>
      </c>
      <c r="E136" s="5">
        <v>42132</v>
      </c>
      <c r="F136" s="6">
        <v>0.52226851851851852</v>
      </c>
      <c r="G136" s="7">
        <v>9.75</v>
      </c>
      <c r="H136" s="7">
        <f t="shared" si="2"/>
        <v>9.75</v>
      </c>
      <c r="I136" s="3" t="s">
        <v>45</v>
      </c>
      <c r="J136" s="3" t="s">
        <v>15</v>
      </c>
      <c r="K136" s="3" t="s">
        <v>41</v>
      </c>
      <c r="L136" s="3" t="s">
        <v>42</v>
      </c>
    </row>
    <row r="137" spans="1:12" x14ac:dyDescent="0.35">
      <c r="A137" s="3">
        <v>136</v>
      </c>
      <c r="B137" s="3" t="s">
        <v>29</v>
      </c>
      <c r="C137" s="3" t="s">
        <v>275</v>
      </c>
      <c r="D137" s="4">
        <v>1</v>
      </c>
      <c r="E137" s="5">
        <v>42132</v>
      </c>
      <c r="F137" s="6">
        <v>0.72335648148148157</v>
      </c>
      <c r="G137" s="7">
        <v>20.75</v>
      </c>
      <c r="H137" s="7">
        <f t="shared" si="2"/>
        <v>20.75</v>
      </c>
      <c r="I137" s="3" t="s">
        <v>20</v>
      </c>
      <c r="J137" s="3" t="s">
        <v>31</v>
      </c>
      <c r="K137" s="3" t="s">
        <v>32</v>
      </c>
      <c r="L137" s="3" t="s">
        <v>33</v>
      </c>
    </row>
    <row r="138" spans="1:12" x14ac:dyDescent="0.35">
      <c r="A138" s="3">
        <v>137</v>
      </c>
      <c r="B138" s="3" t="s">
        <v>276</v>
      </c>
      <c r="C138" s="3" t="s">
        <v>277</v>
      </c>
      <c r="D138" s="4">
        <v>1</v>
      </c>
      <c r="E138" s="5">
        <v>42133</v>
      </c>
      <c r="F138" s="6">
        <v>0.65552083333333333</v>
      </c>
      <c r="G138" s="7">
        <v>16</v>
      </c>
      <c r="H138" s="7">
        <f t="shared" si="2"/>
        <v>16</v>
      </c>
      <c r="I138" s="3" t="s">
        <v>14</v>
      </c>
      <c r="J138" s="3" t="s">
        <v>15</v>
      </c>
      <c r="K138" s="3" t="s">
        <v>184</v>
      </c>
      <c r="L138" s="3" t="s">
        <v>185</v>
      </c>
    </row>
    <row r="139" spans="1:12" x14ac:dyDescent="0.35">
      <c r="A139" s="3">
        <v>138</v>
      </c>
      <c r="B139" s="3" t="s">
        <v>111</v>
      </c>
      <c r="C139" s="3" t="s">
        <v>278</v>
      </c>
      <c r="D139" s="4">
        <v>1</v>
      </c>
      <c r="E139" s="5">
        <v>42133</v>
      </c>
      <c r="F139" s="6">
        <v>0.73304398148148142</v>
      </c>
      <c r="G139" s="7">
        <v>20.75</v>
      </c>
      <c r="H139" s="7">
        <f t="shared" si="2"/>
        <v>20.75</v>
      </c>
      <c r="I139" s="3" t="s">
        <v>20</v>
      </c>
      <c r="J139" s="3" t="s">
        <v>21</v>
      </c>
      <c r="K139" s="3" t="s">
        <v>81</v>
      </c>
      <c r="L139" s="3" t="s">
        <v>82</v>
      </c>
    </row>
    <row r="140" spans="1:12" x14ac:dyDescent="0.35">
      <c r="A140" s="3">
        <v>139</v>
      </c>
      <c r="B140" s="3" t="s">
        <v>175</v>
      </c>
      <c r="C140" s="3" t="s">
        <v>279</v>
      </c>
      <c r="D140" s="4">
        <v>1</v>
      </c>
      <c r="E140" s="5">
        <v>42133</v>
      </c>
      <c r="F140" s="6">
        <v>0.7575115740740741</v>
      </c>
      <c r="G140" s="7">
        <v>12</v>
      </c>
      <c r="H140" s="7">
        <f t="shared" si="2"/>
        <v>12</v>
      </c>
      <c r="I140" s="3" t="s">
        <v>45</v>
      </c>
      <c r="J140" s="3" t="s">
        <v>15</v>
      </c>
      <c r="K140" s="3" t="s">
        <v>16</v>
      </c>
      <c r="L140" s="3" t="s">
        <v>17</v>
      </c>
    </row>
    <row r="141" spans="1:12" x14ac:dyDescent="0.35">
      <c r="A141" s="3">
        <v>140</v>
      </c>
      <c r="B141" s="3" t="s">
        <v>58</v>
      </c>
      <c r="C141" s="3" t="s">
        <v>280</v>
      </c>
      <c r="D141" s="4">
        <v>1</v>
      </c>
      <c r="E141" s="5">
        <v>42134</v>
      </c>
      <c r="F141" s="6">
        <v>0.6448842592592593</v>
      </c>
      <c r="G141" s="7">
        <v>17.95</v>
      </c>
      <c r="H141" s="7">
        <f t="shared" si="2"/>
        <v>17.95</v>
      </c>
      <c r="I141" s="3" t="s">
        <v>20</v>
      </c>
      <c r="J141" s="3" t="s">
        <v>26</v>
      </c>
      <c r="K141" s="3" t="s">
        <v>60</v>
      </c>
      <c r="L141" s="3" t="s">
        <v>61</v>
      </c>
    </row>
    <row r="142" spans="1:12" x14ac:dyDescent="0.35">
      <c r="A142" s="3">
        <v>141</v>
      </c>
      <c r="B142" s="3" t="s">
        <v>256</v>
      </c>
      <c r="C142" s="3" t="s">
        <v>281</v>
      </c>
      <c r="D142" s="4">
        <v>1</v>
      </c>
      <c r="E142" s="5">
        <v>42134</v>
      </c>
      <c r="F142" s="6">
        <v>0.70212962962962966</v>
      </c>
      <c r="G142" s="7">
        <v>16.75</v>
      </c>
      <c r="H142" s="7">
        <f t="shared" si="2"/>
        <v>16.75</v>
      </c>
      <c r="I142" s="3" t="s">
        <v>14</v>
      </c>
      <c r="J142" s="3" t="s">
        <v>21</v>
      </c>
      <c r="K142" s="3" t="s">
        <v>22</v>
      </c>
      <c r="L142" s="3" t="s">
        <v>23</v>
      </c>
    </row>
    <row r="143" spans="1:12" x14ac:dyDescent="0.35">
      <c r="A143" s="3">
        <v>142</v>
      </c>
      <c r="B143" s="3" t="s">
        <v>282</v>
      </c>
      <c r="C143" s="3" t="s">
        <v>283</v>
      </c>
      <c r="D143" s="4">
        <v>1</v>
      </c>
      <c r="E143" s="5">
        <v>42134</v>
      </c>
      <c r="F143" s="6">
        <v>0.7397800925925927</v>
      </c>
      <c r="G143" s="7">
        <v>12</v>
      </c>
      <c r="H143" s="7">
        <f t="shared" si="2"/>
        <v>12</v>
      </c>
      <c r="I143" s="3" t="s">
        <v>45</v>
      </c>
      <c r="J143" s="3" t="s">
        <v>26</v>
      </c>
      <c r="K143" s="3" t="s">
        <v>98</v>
      </c>
      <c r="L143" s="3" t="s">
        <v>99</v>
      </c>
    </row>
    <row r="144" spans="1:12" x14ac:dyDescent="0.35">
      <c r="A144" s="3">
        <v>143</v>
      </c>
      <c r="B144" s="3" t="s">
        <v>117</v>
      </c>
      <c r="C144" s="3" t="s">
        <v>284</v>
      </c>
      <c r="D144" s="4">
        <v>1</v>
      </c>
      <c r="E144" s="5">
        <v>42134</v>
      </c>
      <c r="F144" s="6">
        <v>0.74092592592592599</v>
      </c>
      <c r="G144" s="7">
        <v>16</v>
      </c>
      <c r="H144" s="7">
        <f t="shared" si="2"/>
        <v>16</v>
      </c>
      <c r="I144" s="3" t="s">
        <v>14</v>
      </c>
      <c r="J144" s="3" t="s">
        <v>26</v>
      </c>
      <c r="K144" s="3" t="s">
        <v>56</v>
      </c>
      <c r="L144" s="3" t="s">
        <v>57</v>
      </c>
    </row>
    <row r="145" spans="1:12" x14ac:dyDescent="0.35">
      <c r="A145" s="3">
        <v>144</v>
      </c>
      <c r="B145" s="3" t="s">
        <v>158</v>
      </c>
      <c r="C145" s="3" t="s">
        <v>285</v>
      </c>
      <c r="D145" s="4">
        <v>1</v>
      </c>
      <c r="E145" s="5">
        <v>42134</v>
      </c>
      <c r="F145" s="6">
        <v>0.74092592592592599</v>
      </c>
      <c r="G145" s="7">
        <v>20.75</v>
      </c>
      <c r="H145" s="7">
        <f t="shared" si="2"/>
        <v>20.75</v>
      </c>
      <c r="I145" s="3" t="s">
        <v>20</v>
      </c>
      <c r="J145" s="3" t="s">
        <v>31</v>
      </c>
      <c r="K145" s="3" t="s">
        <v>46</v>
      </c>
      <c r="L145" s="3" t="s">
        <v>47</v>
      </c>
    </row>
    <row r="146" spans="1:12" x14ac:dyDescent="0.35">
      <c r="A146" s="3">
        <v>145</v>
      </c>
      <c r="B146" s="3" t="s">
        <v>94</v>
      </c>
      <c r="C146" s="3" t="s">
        <v>286</v>
      </c>
      <c r="D146" s="4">
        <v>1</v>
      </c>
      <c r="E146" s="5">
        <v>42134</v>
      </c>
      <c r="F146" s="6">
        <v>0.74222222222222223</v>
      </c>
      <c r="G146" s="7">
        <v>9.75</v>
      </c>
      <c r="H146" s="7">
        <f t="shared" si="2"/>
        <v>9.75</v>
      </c>
      <c r="I146" s="3" t="s">
        <v>45</v>
      </c>
      <c r="J146" s="3" t="s">
        <v>15</v>
      </c>
      <c r="K146" s="3" t="s">
        <v>41</v>
      </c>
      <c r="L146" s="3" t="s">
        <v>42</v>
      </c>
    </row>
    <row r="147" spans="1:12" x14ac:dyDescent="0.35">
      <c r="A147" s="3">
        <v>146</v>
      </c>
      <c r="B147" s="3" t="s">
        <v>58</v>
      </c>
      <c r="C147" s="3" t="s">
        <v>287</v>
      </c>
      <c r="D147" s="4">
        <v>1</v>
      </c>
      <c r="E147" s="5">
        <v>42134</v>
      </c>
      <c r="F147" s="6">
        <v>0.84168981481481486</v>
      </c>
      <c r="G147" s="7">
        <v>17.95</v>
      </c>
      <c r="H147" s="7">
        <f t="shared" si="2"/>
        <v>17.95</v>
      </c>
      <c r="I147" s="3" t="s">
        <v>20</v>
      </c>
      <c r="J147" s="3" t="s">
        <v>26</v>
      </c>
      <c r="K147" s="3" t="s">
        <v>60</v>
      </c>
      <c r="L147" s="3" t="s">
        <v>61</v>
      </c>
    </row>
    <row r="148" spans="1:12" x14ac:dyDescent="0.35">
      <c r="A148" s="3">
        <v>147</v>
      </c>
      <c r="B148" s="3" t="s">
        <v>34</v>
      </c>
      <c r="C148" s="3" t="s">
        <v>260</v>
      </c>
      <c r="D148" s="4">
        <v>1</v>
      </c>
      <c r="E148" s="5">
        <v>42135</v>
      </c>
      <c r="F148" s="6">
        <v>0.73590277777777768</v>
      </c>
      <c r="G148" s="7">
        <v>25.5</v>
      </c>
      <c r="H148" s="7">
        <f t="shared" si="2"/>
        <v>25.5</v>
      </c>
      <c r="I148" s="3" t="s">
        <v>36</v>
      </c>
      <c r="J148" s="3" t="s">
        <v>15</v>
      </c>
      <c r="K148" s="3" t="s">
        <v>37</v>
      </c>
      <c r="L148" s="3" t="s">
        <v>38</v>
      </c>
    </row>
    <row r="149" spans="1:12" x14ac:dyDescent="0.35">
      <c r="A149" s="3">
        <v>148</v>
      </c>
      <c r="B149" s="3" t="s">
        <v>24</v>
      </c>
      <c r="C149" s="3" t="s">
        <v>288</v>
      </c>
      <c r="D149" s="4">
        <v>1</v>
      </c>
      <c r="E149" s="5">
        <v>42135</v>
      </c>
      <c r="F149" s="6">
        <v>0.75343749999999998</v>
      </c>
      <c r="G149" s="7">
        <v>18.5</v>
      </c>
      <c r="H149" s="7">
        <f t="shared" si="2"/>
        <v>18.5</v>
      </c>
      <c r="I149" s="3" t="s">
        <v>20</v>
      </c>
      <c r="J149" s="3" t="s">
        <v>26</v>
      </c>
      <c r="K149" s="3" t="s">
        <v>27</v>
      </c>
      <c r="L149" s="3" t="s">
        <v>28</v>
      </c>
    </row>
    <row r="150" spans="1:12" x14ac:dyDescent="0.35">
      <c r="A150" s="3">
        <v>149</v>
      </c>
      <c r="B150" s="3" t="s">
        <v>90</v>
      </c>
      <c r="C150" s="3" t="s">
        <v>289</v>
      </c>
      <c r="D150" s="4">
        <v>1</v>
      </c>
      <c r="E150" s="5">
        <v>42135</v>
      </c>
      <c r="F150" s="6">
        <v>0.80596064814814816</v>
      </c>
      <c r="G150" s="7">
        <v>12.75</v>
      </c>
      <c r="H150" s="7">
        <f t="shared" si="2"/>
        <v>12.75</v>
      </c>
      <c r="I150" s="3" t="s">
        <v>45</v>
      </c>
      <c r="J150" s="3" t="s">
        <v>21</v>
      </c>
      <c r="K150" s="3" t="s">
        <v>92</v>
      </c>
      <c r="L150" s="3" t="s">
        <v>93</v>
      </c>
    </row>
    <row r="151" spans="1:12" x14ac:dyDescent="0.35">
      <c r="A151" s="3">
        <v>150</v>
      </c>
      <c r="B151" s="3" t="s">
        <v>48</v>
      </c>
      <c r="C151" s="3" t="s">
        <v>290</v>
      </c>
      <c r="D151" s="4">
        <v>1</v>
      </c>
      <c r="E151" s="5">
        <v>42136</v>
      </c>
      <c r="F151" s="6">
        <v>0.55118055555555556</v>
      </c>
      <c r="G151" s="7">
        <v>20.75</v>
      </c>
      <c r="H151" s="7">
        <f t="shared" si="2"/>
        <v>20.75</v>
      </c>
      <c r="I151" s="3" t="s">
        <v>20</v>
      </c>
      <c r="J151" s="3" t="s">
        <v>31</v>
      </c>
      <c r="K151" s="3" t="s">
        <v>50</v>
      </c>
      <c r="L151" s="3" t="s">
        <v>51</v>
      </c>
    </row>
    <row r="152" spans="1:12" x14ac:dyDescent="0.35">
      <c r="A152" s="3">
        <v>151</v>
      </c>
      <c r="B152" s="3" t="s">
        <v>105</v>
      </c>
      <c r="C152" s="3" t="s">
        <v>291</v>
      </c>
      <c r="D152" s="4">
        <v>1</v>
      </c>
      <c r="E152" s="5">
        <v>42136</v>
      </c>
      <c r="F152" s="6">
        <v>0.76509259259259255</v>
      </c>
      <c r="G152" s="7">
        <v>16.5</v>
      </c>
      <c r="H152" s="7">
        <f t="shared" si="2"/>
        <v>16.5</v>
      </c>
      <c r="I152" s="3" t="s">
        <v>20</v>
      </c>
      <c r="J152" s="3" t="s">
        <v>15</v>
      </c>
      <c r="K152" s="3" t="s">
        <v>107</v>
      </c>
      <c r="L152" s="3" t="s">
        <v>108</v>
      </c>
    </row>
    <row r="153" spans="1:12" x14ac:dyDescent="0.35">
      <c r="A153" s="3">
        <v>152</v>
      </c>
      <c r="B153" s="3" t="s">
        <v>292</v>
      </c>
      <c r="C153" s="3" t="s">
        <v>293</v>
      </c>
      <c r="D153" s="4">
        <v>1</v>
      </c>
      <c r="E153" s="5">
        <v>42138</v>
      </c>
      <c r="F153" s="6">
        <v>0.54464120370370372</v>
      </c>
      <c r="G153" s="7">
        <v>12.75</v>
      </c>
      <c r="H153" s="7">
        <f t="shared" si="2"/>
        <v>12.75</v>
      </c>
      <c r="I153" s="3" t="s">
        <v>45</v>
      </c>
      <c r="J153" s="3" t="s">
        <v>21</v>
      </c>
      <c r="K153" s="3" t="s">
        <v>22</v>
      </c>
      <c r="L153" s="3" t="s">
        <v>23</v>
      </c>
    </row>
    <row r="154" spans="1:12" x14ac:dyDescent="0.35">
      <c r="A154" s="3">
        <v>153</v>
      </c>
      <c r="B154" s="3" t="s">
        <v>12</v>
      </c>
      <c r="C154" s="3" t="s">
        <v>294</v>
      </c>
      <c r="D154" s="4">
        <v>1</v>
      </c>
      <c r="E154" s="5">
        <v>42138</v>
      </c>
      <c r="F154" s="6">
        <v>0.55996527777777783</v>
      </c>
      <c r="G154" s="7">
        <v>16</v>
      </c>
      <c r="H154" s="7">
        <f t="shared" si="2"/>
        <v>16</v>
      </c>
      <c r="I154" s="3" t="s">
        <v>14</v>
      </c>
      <c r="J154" s="3" t="s">
        <v>15</v>
      </c>
      <c r="K154" s="3" t="s">
        <v>16</v>
      </c>
      <c r="L154" s="3" t="s">
        <v>17</v>
      </c>
    </row>
    <row r="155" spans="1:12" x14ac:dyDescent="0.35">
      <c r="A155" s="3">
        <v>154</v>
      </c>
      <c r="B155" s="3" t="s">
        <v>238</v>
      </c>
      <c r="C155" s="3" t="s">
        <v>295</v>
      </c>
      <c r="D155" s="4">
        <v>1</v>
      </c>
      <c r="E155" s="5">
        <v>42138</v>
      </c>
      <c r="F155" s="6">
        <v>0.56137731481481479</v>
      </c>
      <c r="G155" s="7">
        <v>20.25</v>
      </c>
      <c r="H155" s="7">
        <f t="shared" si="2"/>
        <v>20.25</v>
      </c>
      <c r="I155" s="3" t="s">
        <v>20</v>
      </c>
      <c r="J155" s="3" t="s">
        <v>26</v>
      </c>
      <c r="K155" s="3" t="s">
        <v>56</v>
      </c>
      <c r="L155" s="3" t="s">
        <v>57</v>
      </c>
    </row>
    <row r="156" spans="1:12" x14ac:dyDescent="0.35">
      <c r="A156" s="3">
        <v>155</v>
      </c>
      <c r="B156" s="3" t="s">
        <v>296</v>
      </c>
      <c r="C156" s="3" t="s">
        <v>183</v>
      </c>
      <c r="D156" s="4">
        <v>1</v>
      </c>
      <c r="E156" s="5">
        <v>42139</v>
      </c>
      <c r="F156" s="6">
        <v>0.62667824074074074</v>
      </c>
      <c r="G156" s="7">
        <v>16.5</v>
      </c>
      <c r="H156" s="7">
        <f t="shared" si="2"/>
        <v>16.5</v>
      </c>
      <c r="I156" s="3" t="s">
        <v>14</v>
      </c>
      <c r="J156" s="3" t="s">
        <v>31</v>
      </c>
      <c r="K156" s="3" t="s">
        <v>32</v>
      </c>
      <c r="L156" s="3" t="s">
        <v>33</v>
      </c>
    </row>
    <row r="157" spans="1:12" x14ac:dyDescent="0.35">
      <c r="A157" s="3">
        <v>156</v>
      </c>
      <c r="B157" s="3" t="s">
        <v>138</v>
      </c>
      <c r="C157" s="3" t="s">
        <v>297</v>
      </c>
      <c r="D157" s="4">
        <v>1</v>
      </c>
      <c r="E157" s="5">
        <v>42139</v>
      </c>
      <c r="F157" s="6">
        <v>0.83523148148148152</v>
      </c>
      <c r="G157" s="7">
        <v>20.75</v>
      </c>
      <c r="H157" s="7">
        <f t="shared" si="2"/>
        <v>20.75</v>
      </c>
      <c r="I157" s="3" t="s">
        <v>20</v>
      </c>
      <c r="J157" s="3" t="s">
        <v>21</v>
      </c>
      <c r="K157" s="3" t="s">
        <v>140</v>
      </c>
      <c r="L157" s="3" t="s">
        <v>141</v>
      </c>
    </row>
    <row r="158" spans="1:12" x14ac:dyDescent="0.35">
      <c r="A158" s="3">
        <v>157</v>
      </c>
      <c r="B158" s="3" t="s">
        <v>298</v>
      </c>
      <c r="C158" s="3" t="s">
        <v>299</v>
      </c>
      <c r="D158" s="4">
        <v>1</v>
      </c>
      <c r="E158" s="5">
        <v>42139</v>
      </c>
      <c r="F158" s="6">
        <v>0.86469907407407398</v>
      </c>
      <c r="G158" s="7">
        <v>16</v>
      </c>
      <c r="H158" s="7">
        <f t="shared" si="2"/>
        <v>16</v>
      </c>
      <c r="I158" s="3" t="s">
        <v>14</v>
      </c>
      <c r="J158" s="3" t="s">
        <v>26</v>
      </c>
      <c r="K158" s="3" t="s">
        <v>98</v>
      </c>
      <c r="L158" s="3" t="s">
        <v>99</v>
      </c>
    </row>
    <row r="159" spans="1:12" x14ac:dyDescent="0.35">
      <c r="A159" s="3">
        <v>158</v>
      </c>
      <c r="B159" s="3" t="s">
        <v>138</v>
      </c>
      <c r="C159" s="3" t="s">
        <v>300</v>
      </c>
      <c r="D159" s="4">
        <v>1</v>
      </c>
      <c r="E159" s="5">
        <v>42139</v>
      </c>
      <c r="F159" s="6">
        <v>0.88253472222222218</v>
      </c>
      <c r="G159" s="7">
        <v>20.75</v>
      </c>
      <c r="H159" s="7">
        <f t="shared" si="2"/>
        <v>20.75</v>
      </c>
      <c r="I159" s="3" t="s">
        <v>20</v>
      </c>
      <c r="J159" s="3" t="s">
        <v>21</v>
      </c>
      <c r="K159" s="3" t="s">
        <v>140</v>
      </c>
      <c r="L159" s="3" t="s">
        <v>141</v>
      </c>
    </row>
    <row r="160" spans="1:12" x14ac:dyDescent="0.35">
      <c r="A160" s="3">
        <v>159</v>
      </c>
      <c r="B160" s="3" t="s">
        <v>229</v>
      </c>
      <c r="C160" s="3" t="s">
        <v>301</v>
      </c>
      <c r="D160" s="4">
        <v>1</v>
      </c>
      <c r="E160" s="5">
        <v>42141</v>
      </c>
      <c r="F160" s="6">
        <v>0.5455092592592593</v>
      </c>
      <c r="G160" s="7">
        <v>20.25</v>
      </c>
      <c r="H160" s="7">
        <f t="shared" si="2"/>
        <v>20.25</v>
      </c>
      <c r="I160" s="3" t="s">
        <v>20</v>
      </c>
      <c r="J160" s="3" t="s">
        <v>26</v>
      </c>
      <c r="K160" s="3" t="s">
        <v>122</v>
      </c>
      <c r="L160" s="3" t="s">
        <v>123</v>
      </c>
    </row>
    <row r="161" spans="1:12" x14ac:dyDescent="0.35">
      <c r="A161" s="3">
        <v>160</v>
      </c>
      <c r="B161" s="3" t="s">
        <v>58</v>
      </c>
      <c r="C161" s="3" t="s">
        <v>302</v>
      </c>
      <c r="D161" s="4">
        <v>1</v>
      </c>
      <c r="E161" s="5">
        <v>42142</v>
      </c>
      <c r="F161" s="6">
        <v>0.48068287037037033</v>
      </c>
      <c r="G161" s="7">
        <v>17.95</v>
      </c>
      <c r="H161" s="7">
        <f t="shared" si="2"/>
        <v>17.95</v>
      </c>
      <c r="I161" s="3" t="s">
        <v>20</v>
      </c>
      <c r="J161" s="3" t="s">
        <v>26</v>
      </c>
      <c r="K161" s="3" t="s">
        <v>60</v>
      </c>
      <c r="L161" s="3" t="s">
        <v>61</v>
      </c>
    </row>
    <row r="162" spans="1:12" x14ac:dyDescent="0.35">
      <c r="A162" s="3">
        <v>161</v>
      </c>
      <c r="B162" s="3" t="s">
        <v>238</v>
      </c>
      <c r="C162" s="3" t="s">
        <v>303</v>
      </c>
      <c r="D162" s="4">
        <v>1</v>
      </c>
      <c r="E162" s="5">
        <v>42143</v>
      </c>
      <c r="F162" s="6">
        <v>0.56577546296296299</v>
      </c>
      <c r="G162" s="7">
        <v>20.25</v>
      </c>
      <c r="H162" s="7">
        <f t="shared" si="2"/>
        <v>20.25</v>
      </c>
      <c r="I162" s="3" t="s">
        <v>20</v>
      </c>
      <c r="J162" s="3" t="s">
        <v>26</v>
      </c>
      <c r="K162" s="3" t="s">
        <v>56</v>
      </c>
      <c r="L162" s="3" t="s">
        <v>57</v>
      </c>
    </row>
    <row r="163" spans="1:12" x14ac:dyDescent="0.35">
      <c r="A163" s="3">
        <v>162</v>
      </c>
      <c r="B163" s="3" t="s">
        <v>101</v>
      </c>
      <c r="C163" s="3" t="s">
        <v>304</v>
      </c>
      <c r="D163" s="4">
        <v>1</v>
      </c>
      <c r="E163" s="5">
        <v>42144</v>
      </c>
      <c r="F163" s="6">
        <v>0.65148148148148144</v>
      </c>
      <c r="G163" s="7">
        <v>20.75</v>
      </c>
      <c r="H163" s="7">
        <f t="shared" si="2"/>
        <v>20.75</v>
      </c>
      <c r="I163" s="3" t="s">
        <v>20</v>
      </c>
      <c r="J163" s="3" t="s">
        <v>21</v>
      </c>
      <c r="K163" s="3" t="s">
        <v>103</v>
      </c>
      <c r="L163" s="3" t="s">
        <v>104</v>
      </c>
    </row>
    <row r="164" spans="1:12" x14ac:dyDescent="0.35">
      <c r="A164" s="3">
        <v>163</v>
      </c>
      <c r="B164" s="3" t="s">
        <v>178</v>
      </c>
      <c r="C164" s="3" t="s">
        <v>305</v>
      </c>
      <c r="D164" s="4">
        <v>1</v>
      </c>
      <c r="E164" s="5">
        <v>42145</v>
      </c>
      <c r="F164" s="6">
        <v>0.52598379629629632</v>
      </c>
      <c r="G164" s="7">
        <v>20.5</v>
      </c>
      <c r="H164" s="7">
        <f t="shared" si="2"/>
        <v>20.5</v>
      </c>
      <c r="I164" s="3" t="s">
        <v>20</v>
      </c>
      <c r="J164" s="3" t="s">
        <v>15</v>
      </c>
      <c r="K164" s="3" t="s">
        <v>180</v>
      </c>
      <c r="L164" s="3" t="s">
        <v>181</v>
      </c>
    </row>
    <row r="165" spans="1:12" x14ac:dyDescent="0.35">
      <c r="A165" s="3">
        <v>164</v>
      </c>
      <c r="B165" s="3" t="s">
        <v>195</v>
      </c>
      <c r="C165" s="3" t="s">
        <v>102</v>
      </c>
      <c r="D165" s="4">
        <v>1</v>
      </c>
      <c r="E165" s="5">
        <v>42145</v>
      </c>
      <c r="F165" s="6">
        <v>0.54483796296296294</v>
      </c>
      <c r="G165" s="7">
        <v>12</v>
      </c>
      <c r="H165" s="7">
        <f t="shared" si="2"/>
        <v>12</v>
      </c>
      <c r="I165" s="3" t="s">
        <v>45</v>
      </c>
      <c r="J165" s="3" t="s">
        <v>26</v>
      </c>
      <c r="K165" s="3" t="s">
        <v>197</v>
      </c>
      <c r="L165" s="3" t="s">
        <v>198</v>
      </c>
    </row>
    <row r="166" spans="1:12" x14ac:dyDescent="0.35">
      <c r="A166" s="3">
        <v>165</v>
      </c>
      <c r="B166" s="3" t="s">
        <v>282</v>
      </c>
      <c r="C166" s="3" t="s">
        <v>306</v>
      </c>
      <c r="D166" s="4">
        <v>1</v>
      </c>
      <c r="E166" s="5">
        <v>42145</v>
      </c>
      <c r="F166" s="6">
        <v>0.83712962962962967</v>
      </c>
      <c r="G166" s="7">
        <v>12</v>
      </c>
      <c r="H166" s="7">
        <f t="shared" si="2"/>
        <v>12</v>
      </c>
      <c r="I166" s="3" t="s">
        <v>45</v>
      </c>
      <c r="J166" s="3" t="s">
        <v>26</v>
      </c>
      <c r="K166" s="3" t="s">
        <v>98</v>
      </c>
      <c r="L166" s="3" t="s">
        <v>99</v>
      </c>
    </row>
    <row r="167" spans="1:12" x14ac:dyDescent="0.35">
      <c r="A167" s="3">
        <v>166</v>
      </c>
      <c r="B167" s="3" t="s">
        <v>307</v>
      </c>
      <c r="C167" s="3" t="s">
        <v>30</v>
      </c>
      <c r="D167" s="4">
        <v>1</v>
      </c>
      <c r="E167" s="5">
        <v>42146</v>
      </c>
      <c r="F167" s="6">
        <v>0.64146990740740739</v>
      </c>
      <c r="G167" s="7">
        <v>20.25</v>
      </c>
      <c r="H167" s="7">
        <f t="shared" si="2"/>
        <v>20.25</v>
      </c>
      <c r="I167" s="3" t="s">
        <v>20</v>
      </c>
      <c r="J167" s="3" t="s">
        <v>26</v>
      </c>
      <c r="K167" s="3" t="s">
        <v>266</v>
      </c>
      <c r="L167" s="3" t="s">
        <v>267</v>
      </c>
    </row>
    <row r="168" spans="1:12" x14ac:dyDescent="0.35">
      <c r="A168" s="3">
        <v>167</v>
      </c>
      <c r="B168" s="3" t="s">
        <v>276</v>
      </c>
      <c r="C168" s="3" t="s">
        <v>308</v>
      </c>
      <c r="D168" s="4">
        <v>1</v>
      </c>
      <c r="E168" s="5">
        <v>42149</v>
      </c>
      <c r="F168" s="6">
        <v>0.66631944444444446</v>
      </c>
      <c r="G168" s="7">
        <v>16</v>
      </c>
      <c r="H168" s="7">
        <f t="shared" si="2"/>
        <v>16</v>
      </c>
      <c r="I168" s="3" t="s">
        <v>14</v>
      </c>
      <c r="J168" s="3" t="s">
        <v>15</v>
      </c>
      <c r="K168" s="3" t="s">
        <v>184</v>
      </c>
      <c r="L168" s="3" t="s">
        <v>185</v>
      </c>
    </row>
    <row r="169" spans="1:12" x14ac:dyDescent="0.35">
      <c r="A169" s="3">
        <v>168</v>
      </c>
      <c r="B169" s="3" t="s">
        <v>12</v>
      </c>
      <c r="C169" s="3" t="s">
        <v>309</v>
      </c>
      <c r="D169" s="4">
        <v>1</v>
      </c>
      <c r="E169" s="5">
        <v>42149</v>
      </c>
      <c r="F169" s="6">
        <v>0.71209490740740744</v>
      </c>
      <c r="G169" s="7">
        <v>16</v>
      </c>
      <c r="H169" s="7">
        <f t="shared" si="2"/>
        <v>16</v>
      </c>
      <c r="I169" s="3" t="s">
        <v>14</v>
      </c>
      <c r="J169" s="3" t="s">
        <v>15</v>
      </c>
      <c r="K169" s="3" t="s">
        <v>16</v>
      </c>
      <c r="L169" s="3" t="s">
        <v>17</v>
      </c>
    </row>
    <row r="170" spans="1:12" x14ac:dyDescent="0.35">
      <c r="A170" s="3">
        <v>169</v>
      </c>
      <c r="B170" s="3" t="s">
        <v>96</v>
      </c>
      <c r="C170" s="3" t="s">
        <v>310</v>
      </c>
      <c r="D170" s="4">
        <v>1</v>
      </c>
      <c r="E170" s="5">
        <v>42150</v>
      </c>
      <c r="F170" s="6">
        <v>0.77277777777777779</v>
      </c>
      <c r="G170" s="7">
        <v>20.25</v>
      </c>
      <c r="H170" s="7">
        <f t="shared" si="2"/>
        <v>20.25</v>
      </c>
      <c r="I170" s="3" t="s">
        <v>20</v>
      </c>
      <c r="J170" s="3" t="s">
        <v>26</v>
      </c>
      <c r="K170" s="3" t="s">
        <v>98</v>
      </c>
      <c r="L170" s="3" t="s">
        <v>99</v>
      </c>
    </row>
    <row r="171" spans="1:12" x14ac:dyDescent="0.35">
      <c r="A171" s="3">
        <v>170</v>
      </c>
      <c r="B171" s="3" t="s">
        <v>164</v>
      </c>
      <c r="C171" s="3" t="s">
        <v>311</v>
      </c>
      <c r="D171" s="4">
        <v>1</v>
      </c>
      <c r="E171" s="5">
        <v>42150</v>
      </c>
      <c r="F171" s="6">
        <v>0.93371527777777785</v>
      </c>
      <c r="G171" s="7">
        <v>12.5</v>
      </c>
      <c r="H171" s="7">
        <f t="shared" si="2"/>
        <v>12.5</v>
      </c>
      <c r="I171" s="3" t="s">
        <v>45</v>
      </c>
      <c r="J171" s="3" t="s">
        <v>26</v>
      </c>
      <c r="K171" s="3" t="s">
        <v>166</v>
      </c>
      <c r="L171" s="3" t="s">
        <v>167</v>
      </c>
    </row>
    <row r="172" spans="1:12" x14ac:dyDescent="0.35">
      <c r="A172" s="3">
        <v>171</v>
      </c>
      <c r="B172" s="3" t="s">
        <v>162</v>
      </c>
      <c r="C172" s="3" t="s">
        <v>312</v>
      </c>
      <c r="D172" s="4">
        <v>1</v>
      </c>
      <c r="E172" s="5">
        <v>42151</v>
      </c>
      <c r="F172" s="6">
        <v>0.60351851851851845</v>
      </c>
      <c r="G172" s="7">
        <v>20.75</v>
      </c>
      <c r="H172" s="7">
        <f t="shared" si="2"/>
        <v>20.75</v>
      </c>
      <c r="I172" s="3" t="s">
        <v>20</v>
      </c>
      <c r="J172" s="3" t="s">
        <v>21</v>
      </c>
      <c r="K172" s="3" t="s">
        <v>92</v>
      </c>
      <c r="L172" s="3" t="s">
        <v>93</v>
      </c>
    </row>
    <row r="173" spans="1:12" x14ac:dyDescent="0.35">
      <c r="A173" s="3">
        <v>172</v>
      </c>
      <c r="B173" s="3" t="s">
        <v>162</v>
      </c>
      <c r="C173" s="3" t="s">
        <v>313</v>
      </c>
      <c r="D173" s="4">
        <v>1</v>
      </c>
      <c r="E173" s="5">
        <v>42151</v>
      </c>
      <c r="F173" s="6">
        <v>0.73201388888888896</v>
      </c>
      <c r="G173" s="7">
        <v>20.75</v>
      </c>
      <c r="H173" s="7">
        <f t="shared" si="2"/>
        <v>20.75</v>
      </c>
      <c r="I173" s="3" t="s">
        <v>20</v>
      </c>
      <c r="J173" s="3" t="s">
        <v>21</v>
      </c>
      <c r="K173" s="3" t="s">
        <v>92</v>
      </c>
      <c r="L173" s="3" t="s">
        <v>93</v>
      </c>
    </row>
    <row r="174" spans="1:12" x14ac:dyDescent="0.35">
      <c r="A174" s="3">
        <v>173</v>
      </c>
      <c r="B174" s="3" t="s">
        <v>34</v>
      </c>
      <c r="C174" s="3" t="s">
        <v>314</v>
      </c>
      <c r="D174" s="4">
        <v>1</v>
      </c>
      <c r="E174" s="5">
        <v>42151</v>
      </c>
      <c r="F174" s="6">
        <v>0.74934027777777779</v>
      </c>
      <c r="G174" s="7">
        <v>25.5</v>
      </c>
      <c r="H174" s="7">
        <f t="shared" si="2"/>
        <v>25.5</v>
      </c>
      <c r="I174" s="3" t="s">
        <v>36</v>
      </c>
      <c r="J174" s="3" t="s">
        <v>15</v>
      </c>
      <c r="K174" s="3" t="s">
        <v>37</v>
      </c>
      <c r="L174" s="3" t="s">
        <v>38</v>
      </c>
    </row>
    <row r="175" spans="1:12" x14ac:dyDescent="0.35">
      <c r="A175" s="3">
        <v>174</v>
      </c>
      <c r="B175" s="3" t="s">
        <v>74</v>
      </c>
      <c r="C175" s="3" t="s">
        <v>315</v>
      </c>
      <c r="D175" s="4">
        <v>1</v>
      </c>
      <c r="E175" s="5">
        <v>42153</v>
      </c>
      <c r="F175" s="6">
        <v>0.57287037037037036</v>
      </c>
      <c r="G175" s="7">
        <v>12.25</v>
      </c>
      <c r="H175" s="7">
        <f t="shared" si="2"/>
        <v>12.25</v>
      </c>
      <c r="I175" s="3" t="s">
        <v>45</v>
      </c>
      <c r="J175" s="3" t="s">
        <v>31</v>
      </c>
      <c r="K175" s="3" t="s">
        <v>76</v>
      </c>
      <c r="L175" s="3" t="s">
        <v>77</v>
      </c>
    </row>
    <row r="176" spans="1:12" x14ac:dyDescent="0.35">
      <c r="A176" s="3">
        <v>175</v>
      </c>
      <c r="B176" s="3" t="s">
        <v>133</v>
      </c>
      <c r="C176" s="3" t="s">
        <v>316</v>
      </c>
      <c r="D176" s="4">
        <v>1</v>
      </c>
      <c r="E176" s="5">
        <v>42153</v>
      </c>
      <c r="F176" s="6">
        <v>0.58597222222222223</v>
      </c>
      <c r="G176" s="7">
        <v>16.75</v>
      </c>
      <c r="H176" s="7">
        <f t="shared" si="2"/>
        <v>16.75</v>
      </c>
      <c r="I176" s="3" t="s">
        <v>14</v>
      </c>
      <c r="J176" s="3" t="s">
        <v>21</v>
      </c>
      <c r="K176" s="3" t="s">
        <v>103</v>
      </c>
      <c r="L176" s="3" t="s">
        <v>104</v>
      </c>
    </row>
    <row r="177" spans="1:12" x14ac:dyDescent="0.35">
      <c r="A177" s="3">
        <v>176</v>
      </c>
      <c r="B177" s="3" t="s">
        <v>86</v>
      </c>
      <c r="C177" s="3" t="s">
        <v>317</v>
      </c>
      <c r="D177" s="4">
        <v>1</v>
      </c>
      <c r="E177" s="5">
        <v>42155</v>
      </c>
      <c r="F177" s="6">
        <v>0.73311342592592599</v>
      </c>
      <c r="G177" s="7">
        <v>16.5</v>
      </c>
      <c r="H177" s="7">
        <f t="shared" si="2"/>
        <v>16.5</v>
      </c>
      <c r="I177" s="3" t="s">
        <v>14</v>
      </c>
      <c r="J177" s="3" t="s">
        <v>31</v>
      </c>
      <c r="K177" s="3" t="s">
        <v>88</v>
      </c>
      <c r="L177" s="3" t="s">
        <v>89</v>
      </c>
    </row>
    <row r="178" spans="1:12" x14ac:dyDescent="0.35">
      <c r="A178" s="3">
        <v>177</v>
      </c>
      <c r="B178" s="3" t="s">
        <v>170</v>
      </c>
      <c r="C178" s="3" t="s">
        <v>230</v>
      </c>
      <c r="D178" s="4">
        <v>1</v>
      </c>
      <c r="E178" s="5">
        <v>42156</v>
      </c>
      <c r="F178" s="6">
        <v>0.48449074074074078</v>
      </c>
      <c r="G178" s="7">
        <v>12</v>
      </c>
      <c r="H178" s="7">
        <f t="shared" si="2"/>
        <v>12</v>
      </c>
      <c r="I178" s="3" t="s">
        <v>45</v>
      </c>
      <c r="J178" s="3" t="s">
        <v>15</v>
      </c>
      <c r="K178" s="3" t="s">
        <v>172</v>
      </c>
      <c r="L178" s="3" t="s">
        <v>173</v>
      </c>
    </row>
    <row r="179" spans="1:12" x14ac:dyDescent="0.35">
      <c r="A179" s="3">
        <v>178</v>
      </c>
      <c r="B179" s="3" t="s">
        <v>170</v>
      </c>
      <c r="C179" s="3" t="s">
        <v>318</v>
      </c>
      <c r="D179" s="4">
        <v>1</v>
      </c>
      <c r="E179" s="5">
        <v>42156</v>
      </c>
      <c r="F179" s="6">
        <v>0.50587962962962962</v>
      </c>
      <c r="G179" s="7">
        <v>12</v>
      </c>
      <c r="H179" s="7">
        <f t="shared" si="2"/>
        <v>12</v>
      </c>
      <c r="I179" s="3" t="s">
        <v>45</v>
      </c>
      <c r="J179" s="3" t="s">
        <v>15</v>
      </c>
      <c r="K179" s="3" t="s">
        <v>172</v>
      </c>
      <c r="L179" s="3" t="s">
        <v>173</v>
      </c>
    </row>
    <row r="180" spans="1:12" x14ac:dyDescent="0.35">
      <c r="A180" s="3">
        <v>179</v>
      </c>
      <c r="B180" s="3" t="s">
        <v>221</v>
      </c>
      <c r="C180" s="3" t="s">
        <v>319</v>
      </c>
      <c r="D180" s="4">
        <v>1</v>
      </c>
      <c r="E180" s="5">
        <v>42156</v>
      </c>
      <c r="F180" s="6">
        <v>0.51424768518518515</v>
      </c>
      <c r="G180" s="7">
        <v>16.25</v>
      </c>
      <c r="H180" s="7">
        <f t="shared" si="2"/>
        <v>16.25</v>
      </c>
      <c r="I180" s="3" t="s">
        <v>14</v>
      </c>
      <c r="J180" s="3" t="s">
        <v>31</v>
      </c>
      <c r="K180" s="3" t="s">
        <v>146</v>
      </c>
      <c r="L180" s="3" t="s">
        <v>147</v>
      </c>
    </row>
    <row r="181" spans="1:12" x14ac:dyDescent="0.35">
      <c r="A181" s="3">
        <v>180</v>
      </c>
      <c r="B181" s="3" t="s">
        <v>170</v>
      </c>
      <c r="C181" s="3" t="s">
        <v>320</v>
      </c>
      <c r="D181" s="4">
        <v>1</v>
      </c>
      <c r="E181" s="5">
        <v>42157</v>
      </c>
      <c r="F181" s="6">
        <v>0.60818287037037033</v>
      </c>
      <c r="G181" s="7">
        <v>12</v>
      </c>
      <c r="H181" s="7">
        <f t="shared" si="2"/>
        <v>12</v>
      </c>
      <c r="I181" s="3" t="s">
        <v>45</v>
      </c>
      <c r="J181" s="3" t="s">
        <v>15</v>
      </c>
      <c r="K181" s="3" t="s">
        <v>172</v>
      </c>
      <c r="L181" s="3" t="s">
        <v>173</v>
      </c>
    </row>
    <row r="182" spans="1:12" x14ac:dyDescent="0.35">
      <c r="A182" s="3">
        <v>181</v>
      </c>
      <c r="B182" s="3" t="s">
        <v>321</v>
      </c>
      <c r="C182" s="3" t="s">
        <v>322</v>
      </c>
      <c r="D182" s="4">
        <v>1</v>
      </c>
      <c r="E182" s="5">
        <v>42158</v>
      </c>
      <c r="F182" s="6">
        <v>0.66908564814814808</v>
      </c>
      <c r="G182" s="7">
        <v>16.5</v>
      </c>
      <c r="H182" s="7">
        <f t="shared" si="2"/>
        <v>16.5</v>
      </c>
      <c r="I182" s="3" t="s">
        <v>14</v>
      </c>
      <c r="J182" s="3" t="s">
        <v>26</v>
      </c>
      <c r="K182" s="3" t="s">
        <v>166</v>
      </c>
      <c r="L182" s="3" t="s">
        <v>167</v>
      </c>
    </row>
    <row r="183" spans="1:12" x14ac:dyDescent="0.35">
      <c r="A183" s="3">
        <v>182</v>
      </c>
      <c r="B183" s="3" t="s">
        <v>218</v>
      </c>
      <c r="C183" s="3" t="s">
        <v>323</v>
      </c>
      <c r="D183" s="4">
        <v>1</v>
      </c>
      <c r="E183" s="5">
        <v>42160</v>
      </c>
      <c r="F183" s="6">
        <v>0.63372685185185185</v>
      </c>
      <c r="G183" s="7">
        <v>16.75</v>
      </c>
      <c r="H183" s="7">
        <f t="shared" si="2"/>
        <v>16.75</v>
      </c>
      <c r="I183" s="3" t="s">
        <v>14</v>
      </c>
      <c r="J183" s="3" t="s">
        <v>21</v>
      </c>
      <c r="K183" s="3" t="s">
        <v>140</v>
      </c>
      <c r="L183" s="3" t="s">
        <v>141</v>
      </c>
    </row>
    <row r="184" spans="1:12" x14ac:dyDescent="0.35">
      <c r="A184" s="3">
        <v>183</v>
      </c>
      <c r="B184" s="3" t="s">
        <v>182</v>
      </c>
      <c r="C184" s="3" t="s">
        <v>324</v>
      </c>
      <c r="D184" s="4">
        <v>1</v>
      </c>
      <c r="E184" s="5">
        <v>42160</v>
      </c>
      <c r="F184" s="6">
        <v>0.63372685185185185</v>
      </c>
      <c r="G184" s="7">
        <v>12</v>
      </c>
      <c r="H184" s="7">
        <f t="shared" si="2"/>
        <v>12</v>
      </c>
      <c r="I184" s="3" t="s">
        <v>45</v>
      </c>
      <c r="J184" s="3" t="s">
        <v>15</v>
      </c>
      <c r="K184" s="3" t="s">
        <v>184</v>
      </c>
      <c r="L184" s="3" t="s">
        <v>185</v>
      </c>
    </row>
    <row r="185" spans="1:12" x14ac:dyDescent="0.35">
      <c r="A185" s="3">
        <v>184</v>
      </c>
      <c r="B185" s="3" t="s">
        <v>52</v>
      </c>
      <c r="C185" s="3" t="s">
        <v>325</v>
      </c>
      <c r="D185" s="4">
        <v>1</v>
      </c>
      <c r="E185" s="5">
        <v>42160</v>
      </c>
      <c r="F185" s="6">
        <v>0.63372685185185185</v>
      </c>
      <c r="G185" s="7">
        <v>12.5</v>
      </c>
      <c r="H185" s="7">
        <f t="shared" si="2"/>
        <v>12.5</v>
      </c>
      <c r="I185" s="3" t="s">
        <v>45</v>
      </c>
      <c r="J185" s="3" t="s">
        <v>31</v>
      </c>
      <c r="K185" s="3" t="s">
        <v>32</v>
      </c>
      <c r="L185" s="3" t="s">
        <v>33</v>
      </c>
    </row>
    <row r="186" spans="1:12" x14ac:dyDescent="0.35">
      <c r="A186" s="3">
        <v>185</v>
      </c>
      <c r="B186" s="3" t="s">
        <v>326</v>
      </c>
      <c r="C186" s="3" t="s">
        <v>327</v>
      </c>
      <c r="D186" s="4">
        <v>1</v>
      </c>
      <c r="E186" s="5">
        <v>42160</v>
      </c>
      <c r="F186" s="6">
        <v>0.83837962962962964</v>
      </c>
      <c r="G186" s="7">
        <v>20.75</v>
      </c>
      <c r="H186" s="7">
        <f t="shared" si="2"/>
        <v>20.75</v>
      </c>
      <c r="I186" s="3" t="s">
        <v>20</v>
      </c>
      <c r="J186" s="3" t="s">
        <v>31</v>
      </c>
      <c r="K186" s="3" t="s">
        <v>328</v>
      </c>
      <c r="L186" s="3" t="s">
        <v>329</v>
      </c>
    </row>
    <row r="187" spans="1:12" x14ac:dyDescent="0.35">
      <c r="A187" s="3">
        <v>186</v>
      </c>
      <c r="B187" s="3" t="s">
        <v>215</v>
      </c>
      <c r="C187" s="3" t="s">
        <v>112</v>
      </c>
      <c r="D187" s="4">
        <v>1</v>
      </c>
      <c r="E187" s="5">
        <v>42161</v>
      </c>
      <c r="F187" s="6">
        <v>0.70773148148148157</v>
      </c>
      <c r="G187" s="7">
        <v>12</v>
      </c>
      <c r="H187" s="7">
        <f t="shared" si="2"/>
        <v>12</v>
      </c>
      <c r="I187" s="3" t="s">
        <v>45</v>
      </c>
      <c r="J187" s="3" t="s">
        <v>26</v>
      </c>
      <c r="K187" s="3" t="s">
        <v>122</v>
      </c>
      <c r="L187" s="3" t="s">
        <v>123</v>
      </c>
    </row>
    <row r="188" spans="1:12" x14ac:dyDescent="0.35">
      <c r="A188" s="3">
        <v>187</v>
      </c>
      <c r="B188" s="3" t="s">
        <v>138</v>
      </c>
      <c r="C188" s="3" t="s">
        <v>330</v>
      </c>
      <c r="D188" s="4">
        <v>1</v>
      </c>
      <c r="E188" s="5">
        <v>42161</v>
      </c>
      <c r="F188" s="6">
        <v>0.79636574074074085</v>
      </c>
      <c r="G188" s="7">
        <v>20.75</v>
      </c>
      <c r="H188" s="7">
        <f t="shared" si="2"/>
        <v>20.75</v>
      </c>
      <c r="I188" s="3" t="s">
        <v>20</v>
      </c>
      <c r="J188" s="3" t="s">
        <v>21</v>
      </c>
      <c r="K188" s="3" t="s">
        <v>140</v>
      </c>
      <c r="L188" s="3" t="s">
        <v>141</v>
      </c>
    </row>
    <row r="189" spans="1:12" x14ac:dyDescent="0.35">
      <c r="A189" s="3">
        <v>188</v>
      </c>
      <c r="B189" s="3" t="s">
        <v>70</v>
      </c>
      <c r="C189" s="3" t="s">
        <v>331</v>
      </c>
      <c r="D189" s="4">
        <v>1</v>
      </c>
      <c r="E189" s="5">
        <v>42161</v>
      </c>
      <c r="F189" s="6">
        <v>0.8787962962962963</v>
      </c>
      <c r="G189" s="7">
        <v>16.75</v>
      </c>
      <c r="H189" s="7">
        <f t="shared" si="2"/>
        <v>16.75</v>
      </c>
      <c r="I189" s="3" t="s">
        <v>14</v>
      </c>
      <c r="J189" s="3" t="s">
        <v>26</v>
      </c>
      <c r="K189" s="3" t="s">
        <v>72</v>
      </c>
      <c r="L189" s="3" t="s">
        <v>73</v>
      </c>
    </row>
    <row r="190" spans="1:12" x14ac:dyDescent="0.35">
      <c r="A190" s="3">
        <v>189</v>
      </c>
      <c r="B190" s="3" t="s">
        <v>170</v>
      </c>
      <c r="C190" s="3" t="s">
        <v>332</v>
      </c>
      <c r="D190" s="4">
        <v>1</v>
      </c>
      <c r="E190" s="5">
        <v>42161</v>
      </c>
      <c r="F190" s="6">
        <v>0.88253472222222218</v>
      </c>
      <c r="G190" s="7">
        <v>12</v>
      </c>
      <c r="H190" s="7">
        <f t="shared" si="2"/>
        <v>12</v>
      </c>
      <c r="I190" s="3" t="s">
        <v>45</v>
      </c>
      <c r="J190" s="3" t="s">
        <v>15</v>
      </c>
      <c r="K190" s="3" t="s">
        <v>172</v>
      </c>
      <c r="L190" s="3" t="s">
        <v>173</v>
      </c>
    </row>
    <row r="191" spans="1:12" x14ac:dyDescent="0.35">
      <c r="A191" s="3">
        <v>190</v>
      </c>
      <c r="B191" s="3" t="s">
        <v>101</v>
      </c>
      <c r="C191" s="3" t="s">
        <v>333</v>
      </c>
      <c r="D191" s="4">
        <v>1</v>
      </c>
      <c r="E191" s="5">
        <v>42164</v>
      </c>
      <c r="F191" s="6">
        <v>0.53041666666666665</v>
      </c>
      <c r="G191" s="7">
        <v>20.75</v>
      </c>
      <c r="H191" s="7">
        <f t="shared" si="2"/>
        <v>20.75</v>
      </c>
      <c r="I191" s="3" t="s">
        <v>20</v>
      </c>
      <c r="J191" s="3" t="s">
        <v>21</v>
      </c>
      <c r="K191" s="3" t="s">
        <v>103</v>
      </c>
      <c r="L191" s="3" t="s">
        <v>104</v>
      </c>
    </row>
    <row r="192" spans="1:12" x14ac:dyDescent="0.35">
      <c r="A192" s="3">
        <v>191</v>
      </c>
      <c r="B192" s="3" t="s">
        <v>58</v>
      </c>
      <c r="C192" s="3" t="s">
        <v>334</v>
      </c>
      <c r="D192" s="4">
        <v>1</v>
      </c>
      <c r="E192" s="5">
        <v>42164</v>
      </c>
      <c r="F192" s="6">
        <v>0.58550925925925923</v>
      </c>
      <c r="G192" s="7">
        <v>17.95</v>
      </c>
      <c r="H192" s="7">
        <f t="shared" si="2"/>
        <v>17.95</v>
      </c>
      <c r="I192" s="3" t="s">
        <v>20</v>
      </c>
      <c r="J192" s="3" t="s">
        <v>26</v>
      </c>
      <c r="K192" s="3" t="s">
        <v>60</v>
      </c>
      <c r="L192" s="3" t="s">
        <v>61</v>
      </c>
    </row>
    <row r="193" spans="1:12" x14ac:dyDescent="0.35">
      <c r="A193" s="3">
        <v>192</v>
      </c>
      <c r="B193" s="3" t="s">
        <v>256</v>
      </c>
      <c r="C193" s="3" t="s">
        <v>335</v>
      </c>
      <c r="D193" s="4">
        <v>1</v>
      </c>
      <c r="E193" s="5">
        <v>42164</v>
      </c>
      <c r="F193" s="6">
        <v>0.74145833333333344</v>
      </c>
      <c r="G193" s="7">
        <v>16.75</v>
      </c>
      <c r="H193" s="7">
        <f t="shared" si="2"/>
        <v>16.75</v>
      </c>
      <c r="I193" s="3" t="s">
        <v>14</v>
      </c>
      <c r="J193" s="3" t="s">
        <v>21</v>
      </c>
      <c r="K193" s="3" t="s">
        <v>22</v>
      </c>
      <c r="L193" s="3" t="s">
        <v>23</v>
      </c>
    </row>
    <row r="194" spans="1:12" x14ac:dyDescent="0.35">
      <c r="A194" s="3">
        <v>193</v>
      </c>
      <c r="B194" s="3" t="s">
        <v>178</v>
      </c>
      <c r="C194" s="3" t="s">
        <v>336</v>
      </c>
      <c r="D194" s="4">
        <v>1</v>
      </c>
      <c r="E194" s="5">
        <v>42164</v>
      </c>
      <c r="F194" s="6">
        <v>0.77083333333333337</v>
      </c>
      <c r="G194" s="7">
        <v>20.5</v>
      </c>
      <c r="H194" s="7">
        <f t="shared" si="2"/>
        <v>20.5</v>
      </c>
      <c r="I194" s="3" t="s">
        <v>20</v>
      </c>
      <c r="J194" s="3" t="s">
        <v>15</v>
      </c>
      <c r="K194" s="3" t="s">
        <v>180</v>
      </c>
      <c r="L194" s="3" t="s">
        <v>181</v>
      </c>
    </row>
    <row r="195" spans="1:12" x14ac:dyDescent="0.35">
      <c r="A195" s="3">
        <v>194</v>
      </c>
      <c r="B195" s="3" t="s">
        <v>270</v>
      </c>
      <c r="C195" s="3" t="s">
        <v>337</v>
      </c>
      <c r="D195" s="4">
        <v>1</v>
      </c>
      <c r="E195" s="5">
        <v>42165</v>
      </c>
      <c r="F195" s="6">
        <v>0.50416666666666665</v>
      </c>
      <c r="G195" s="7">
        <v>12.5</v>
      </c>
      <c r="H195" s="7">
        <f t="shared" ref="H195:H258" si="3">G195*D195</f>
        <v>12.5</v>
      </c>
      <c r="I195" s="3" t="s">
        <v>14</v>
      </c>
      <c r="J195" s="3" t="s">
        <v>15</v>
      </c>
      <c r="K195" s="3" t="s">
        <v>41</v>
      </c>
      <c r="L195" s="3" t="s">
        <v>42</v>
      </c>
    </row>
    <row r="196" spans="1:12" x14ac:dyDescent="0.35">
      <c r="A196" s="3">
        <v>195</v>
      </c>
      <c r="B196" s="3" t="s">
        <v>48</v>
      </c>
      <c r="C196" s="3" t="s">
        <v>338</v>
      </c>
      <c r="D196" s="4">
        <v>1</v>
      </c>
      <c r="E196" s="5">
        <v>42167</v>
      </c>
      <c r="F196" s="6">
        <v>0.6615509259259259</v>
      </c>
      <c r="G196" s="7">
        <v>20.75</v>
      </c>
      <c r="H196" s="7">
        <f t="shared" si="3"/>
        <v>20.75</v>
      </c>
      <c r="I196" s="3" t="s">
        <v>20</v>
      </c>
      <c r="J196" s="3" t="s">
        <v>31</v>
      </c>
      <c r="K196" s="3" t="s">
        <v>50</v>
      </c>
      <c r="L196" s="3" t="s">
        <v>51</v>
      </c>
    </row>
    <row r="197" spans="1:12" x14ac:dyDescent="0.35">
      <c r="A197" s="3">
        <v>196</v>
      </c>
      <c r="B197" s="3" t="s">
        <v>126</v>
      </c>
      <c r="C197" s="3" t="s">
        <v>339</v>
      </c>
      <c r="D197" s="4">
        <v>1</v>
      </c>
      <c r="E197" s="5">
        <v>42167</v>
      </c>
      <c r="F197" s="6">
        <v>0.71693287037037035</v>
      </c>
      <c r="G197" s="7">
        <v>10.5</v>
      </c>
      <c r="H197" s="7">
        <f t="shared" si="3"/>
        <v>10.5</v>
      </c>
      <c r="I197" s="3" t="s">
        <v>45</v>
      </c>
      <c r="J197" s="3" t="s">
        <v>15</v>
      </c>
      <c r="K197" s="3" t="s">
        <v>107</v>
      </c>
      <c r="L197" s="3" t="s">
        <v>108</v>
      </c>
    </row>
    <row r="198" spans="1:12" x14ac:dyDescent="0.35">
      <c r="A198" s="3">
        <v>197</v>
      </c>
      <c r="B198" s="3" t="s">
        <v>101</v>
      </c>
      <c r="C198" s="3" t="s">
        <v>340</v>
      </c>
      <c r="D198" s="4">
        <v>1</v>
      </c>
      <c r="E198" s="5">
        <v>42168</v>
      </c>
      <c r="F198" s="6">
        <v>0.70966435185185184</v>
      </c>
      <c r="G198" s="7">
        <v>20.75</v>
      </c>
      <c r="H198" s="7">
        <f t="shared" si="3"/>
        <v>20.75</v>
      </c>
      <c r="I198" s="3" t="s">
        <v>20</v>
      </c>
      <c r="J198" s="3" t="s">
        <v>21</v>
      </c>
      <c r="K198" s="3" t="s">
        <v>103</v>
      </c>
      <c r="L198" s="3" t="s">
        <v>104</v>
      </c>
    </row>
    <row r="199" spans="1:12" x14ac:dyDescent="0.35">
      <c r="A199" s="3">
        <v>198</v>
      </c>
      <c r="B199" s="3" t="s">
        <v>191</v>
      </c>
      <c r="C199" s="3" t="s">
        <v>341</v>
      </c>
      <c r="D199" s="4">
        <v>1</v>
      </c>
      <c r="E199" s="5">
        <v>42168</v>
      </c>
      <c r="F199" s="6">
        <v>0.93748842592592585</v>
      </c>
      <c r="G199" s="7">
        <v>20.75</v>
      </c>
      <c r="H199" s="7">
        <f t="shared" si="3"/>
        <v>20.75</v>
      </c>
      <c r="I199" s="3" t="s">
        <v>20</v>
      </c>
      <c r="J199" s="3" t="s">
        <v>26</v>
      </c>
      <c r="K199" s="3" t="s">
        <v>166</v>
      </c>
      <c r="L199" s="3" t="s">
        <v>167</v>
      </c>
    </row>
    <row r="200" spans="1:12" x14ac:dyDescent="0.35">
      <c r="A200" s="3">
        <v>199</v>
      </c>
      <c r="B200" s="3" t="s">
        <v>58</v>
      </c>
      <c r="C200" s="3" t="s">
        <v>342</v>
      </c>
      <c r="D200" s="4">
        <v>1</v>
      </c>
      <c r="E200" s="5">
        <v>42169</v>
      </c>
      <c r="F200" s="6">
        <v>0.58233796296296292</v>
      </c>
      <c r="G200" s="7">
        <v>17.95</v>
      </c>
      <c r="H200" s="7">
        <f t="shared" si="3"/>
        <v>17.95</v>
      </c>
      <c r="I200" s="3" t="s">
        <v>20</v>
      </c>
      <c r="J200" s="3" t="s">
        <v>26</v>
      </c>
      <c r="K200" s="3" t="s">
        <v>60</v>
      </c>
      <c r="L200" s="3" t="s">
        <v>61</v>
      </c>
    </row>
    <row r="201" spans="1:12" x14ac:dyDescent="0.35">
      <c r="A201" s="3">
        <v>200</v>
      </c>
      <c r="B201" s="3" t="s">
        <v>158</v>
      </c>
      <c r="C201" s="3" t="s">
        <v>343</v>
      </c>
      <c r="D201" s="4">
        <v>1</v>
      </c>
      <c r="E201" s="5">
        <v>42169</v>
      </c>
      <c r="F201" s="6">
        <v>0.60924768518518524</v>
      </c>
      <c r="G201" s="7">
        <v>20.75</v>
      </c>
      <c r="H201" s="7">
        <f t="shared" si="3"/>
        <v>20.75</v>
      </c>
      <c r="I201" s="3" t="s">
        <v>20</v>
      </c>
      <c r="J201" s="3" t="s">
        <v>31</v>
      </c>
      <c r="K201" s="3" t="s">
        <v>46</v>
      </c>
      <c r="L201" s="3" t="s">
        <v>47</v>
      </c>
    </row>
    <row r="202" spans="1:12" x14ac:dyDescent="0.35">
      <c r="A202" s="3">
        <v>201</v>
      </c>
      <c r="B202" s="3" t="s">
        <v>115</v>
      </c>
      <c r="C202" s="3" t="s">
        <v>344</v>
      </c>
      <c r="D202" s="4">
        <v>1</v>
      </c>
      <c r="E202" s="5">
        <v>42169</v>
      </c>
      <c r="F202" s="6">
        <v>0.7631944444444444</v>
      </c>
      <c r="G202" s="7">
        <v>12.5</v>
      </c>
      <c r="H202" s="7">
        <f t="shared" si="3"/>
        <v>12.5</v>
      </c>
      <c r="I202" s="3" t="s">
        <v>45</v>
      </c>
      <c r="J202" s="3" t="s">
        <v>31</v>
      </c>
      <c r="K202" s="3" t="s">
        <v>68</v>
      </c>
      <c r="L202" s="3" t="s">
        <v>69</v>
      </c>
    </row>
    <row r="203" spans="1:12" x14ac:dyDescent="0.35">
      <c r="A203" s="3">
        <v>202</v>
      </c>
      <c r="B203" s="3" t="s">
        <v>298</v>
      </c>
      <c r="C203" s="3" t="s">
        <v>345</v>
      </c>
      <c r="D203" s="4">
        <v>1</v>
      </c>
      <c r="E203" s="5">
        <v>42170</v>
      </c>
      <c r="F203" s="6">
        <v>0.75452546296296286</v>
      </c>
      <c r="G203" s="7">
        <v>16</v>
      </c>
      <c r="H203" s="7">
        <f t="shared" si="3"/>
        <v>16</v>
      </c>
      <c r="I203" s="3" t="s">
        <v>14</v>
      </c>
      <c r="J203" s="3" t="s">
        <v>26</v>
      </c>
      <c r="K203" s="3" t="s">
        <v>98</v>
      </c>
      <c r="L203" s="3" t="s">
        <v>99</v>
      </c>
    </row>
    <row r="204" spans="1:12" x14ac:dyDescent="0.35">
      <c r="A204" s="3">
        <v>203</v>
      </c>
      <c r="B204" s="3" t="s">
        <v>215</v>
      </c>
      <c r="C204" s="3" t="s">
        <v>346</v>
      </c>
      <c r="D204" s="4">
        <v>1</v>
      </c>
      <c r="E204" s="5">
        <v>42170</v>
      </c>
      <c r="F204" s="6">
        <v>0.77578703703703711</v>
      </c>
      <c r="G204" s="7">
        <v>12</v>
      </c>
      <c r="H204" s="7">
        <f t="shared" si="3"/>
        <v>12</v>
      </c>
      <c r="I204" s="3" t="s">
        <v>45</v>
      </c>
      <c r="J204" s="3" t="s">
        <v>26</v>
      </c>
      <c r="K204" s="3" t="s">
        <v>122</v>
      </c>
      <c r="L204" s="3" t="s">
        <v>123</v>
      </c>
    </row>
    <row r="205" spans="1:12" x14ac:dyDescent="0.35">
      <c r="A205" s="3">
        <v>204</v>
      </c>
      <c r="B205" s="3" t="s">
        <v>24</v>
      </c>
      <c r="C205" s="3" t="s">
        <v>347</v>
      </c>
      <c r="D205" s="4">
        <v>1</v>
      </c>
      <c r="E205" s="5">
        <v>42171</v>
      </c>
      <c r="F205" s="6">
        <v>0.52724537037037034</v>
      </c>
      <c r="G205" s="7">
        <v>18.5</v>
      </c>
      <c r="H205" s="7">
        <f t="shared" si="3"/>
        <v>18.5</v>
      </c>
      <c r="I205" s="3" t="s">
        <v>20</v>
      </c>
      <c r="J205" s="3" t="s">
        <v>26</v>
      </c>
      <c r="K205" s="3" t="s">
        <v>27</v>
      </c>
      <c r="L205" s="3" t="s">
        <v>28</v>
      </c>
    </row>
    <row r="206" spans="1:12" x14ac:dyDescent="0.35">
      <c r="A206" s="3">
        <v>205</v>
      </c>
      <c r="B206" s="3" t="s">
        <v>74</v>
      </c>
      <c r="C206" s="3" t="s">
        <v>348</v>
      </c>
      <c r="D206" s="4">
        <v>1</v>
      </c>
      <c r="E206" s="5">
        <v>42171</v>
      </c>
      <c r="F206" s="6">
        <v>0.72721064814814806</v>
      </c>
      <c r="G206" s="7">
        <v>12.25</v>
      </c>
      <c r="H206" s="7">
        <f t="shared" si="3"/>
        <v>12.25</v>
      </c>
      <c r="I206" s="3" t="s">
        <v>45</v>
      </c>
      <c r="J206" s="3" t="s">
        <v>31</v>
      </c>
      <c r="K206" s="3" t="s">
        <v>76</v>
      </c>
      <c r="L206" s="3" t="s">
        <v>77</v>
      </c>
    </row>
    <row r="207" spans="1:12" x14ac:dyDescent="0.35">
      <c r="A207" s="3">
        <v>206</v>
      </c>
      <c r="B207" s="3" t="s">
        <v>84</v>
      </c>
      <c r="C207" s="3" t="s">
        <v>349</v>
      </c>
      <c r="D207" s="4">
        <v>1</v>
      </c>
      <c r="E207" s="5">
        <v>42171</v>
      </c>
      <c r="F207" s="6">
        <v>0.78658564814814813</v>
      </c>
      <c r="G207" s="7">
        <v>20.25</v>
      </c>
      <c r="H207" s="7">
        <f t="shared" si="3"/>
        <v>20.25</v>
      </c>
      <c r="I207" s="3" t="s">
        <v>20</v>
      </c>
      <c r="J207" s="3" t="s">
        <v>31</v>
      </c>
      <c r="K207" s="3" t="s">
        <v>76</v>
      </c>
      <c r="L207" s="3" t="s">
        <v>77</v>
      </c>
    </row>
    <row r="208" spans="1:12" x14ac:dyDescent="0.35">
      <c r="A208" s="3">
        <v>207</v>
      </c>
      <c r="B208" s="3" t="s">
        <v>96</v>
      </c>
      <c r="C208" s="3" t="s">
        <v>350</v>
      </c>
      <c r="D208" s="4">
        <v>1</v>
      </c>
      <c r="E208" s="5">
        <v>42172</v>
      </c>
      <c r="F208" s="6">
        <v>0.91113425925925917</v>
      </c>
      <c r="G208" s="7">
        <v>20.25</v>
      </c>
      <c r="H208" s="7">
        <f t="shared" si="3"/>
        <v>20.25</v>
      </c>
      <c r="I208" s="3" t="s">
        <v>20</v>
      </c>
      <c r="J208" s="3" t="s">
        <v>26</v>
      </c>
      <c r="K208" s="3" t="s">
        <v>98</v>
      </c>
      <c r="L208" s="3" t="s">
        <v>99</v>
      </c>
    </row>
    <row r="209" spans="1:12" x14ac:dyDescent="0.35">
      <c r="A209" s="3">
        <v>208</v>
      </c>
      <c r="B209" s="3" t="s">
        <v>218</v>
      </c>
      <c r="C209" s="3" t="s">
        <v>351</v>
      </c>
      <c r="D209" s="4">
        <v>1</v>
      </c>
      <c r="E209" s="5">
        <v>42173</v>
      </c>
      <c r="F209" s="6">
        <v>0.54140046296296296</v>
      </c>
      <c r="G209" s="7">
        <v>16.75</v>
      </c>
      <c r="H209" s="7">
        <f t="shared" si="3"/>
        <v>16.75</v>
      </c>
      <c r="I209" s="3" t="s">
        <v>14</v>
      </c>
      <c r="J209" s="3" t="s">
        <v>21</v>
      </c>
      <c r="K209" s="3" t="s">
        <v>140</v>
      </c>
      <c r="L209" s="3" t="s">
        <v>141</v>
      </c>
    </row>
    <row r="210" spans="1:12" x14ac:dyDescent="0.35">
      <c r="A210" s="3">
        <v>209</v>
      </c>
      <c r="B210" s="3" t="s">
        <v>151</v>
      </c>
      <c r="C210" s="3" t="s">
        <v>352</v>
      </c>
      <c r="D210" s="4">
        <v>1</v>
      </c>
      <c r="E210" s="5">
        <v>42175</v>
      </c>
      <c r="F210" s="6">
        <v>0.72799768518518515</v>
      </c>
      <c r="G210" s="7">
        <v>20.75</v>
      </c>
      <c r="H210" s="7">
        <f t="shared" si="3"/>
        <v>20.75</v>
      </c>
      <c r="I210" s="3" t="s">
        <v>20</v>
      </c>
      <c r="J210" s="3" t="s">
        <v>31</v>
      </c>
      <c r="K210" s="3" t="s">
        <v>88</v>
      </c>
      <c r="L210" s="3" t="s">
        <v>89</v>
      </c>
    </row>
    <row r="211" spans="1:12" x14ac:dyDescent="0.35">
      <c r="A211" s="3">
        <v>210</v>
      </c>
      <c r="B211" s="3" t="s">
        <v>221</v>
      </c>
      <c r="C211" s="3" t="s">
        <v>353</v>
      </c>
      <c r="D211" s="4">
        <v>1</v>
      </c>
      <c r="E211" s="5">
        <v>42176</v>
      </c>
      <c r="F211" s="6">
        <v>0.54952546296296301</v>
      </c>
      <c r="G211" s="7">
        <v>16.25</v>
      </c>
      <c r="H211" s="7">
        <f t="shared" si="3"/>
        <v>16.25</v>
      </c>
      <c r="I211" s="3" t="s">
        <v>14</v>
      </c>
      <c r="J211" s="3" t="s">
        <v>31</v>
      </c>
      <c r="K211" s="3" t="s">
        <v>146</v>
      </c>
      <c r="L211" s="3" t="s">
        <v>147</v>
      </c>
    </row>
    <row r="212" spans="1:12" x14ac:dyDescent="0.35">
      <c r="A212" s="3">
        <v>211</v>
      </c>
      <c r="B212" s="3" t="s">
        <v>270</v>
      </c>
      <c r="C212" s="3" t="s">
        <v>354</v>
      </c>
      <c r="D212" s="4">
        <v>1</v>
      </c>
      <c r="E212" s="5">
        <v>42176</v>
      </c>
      <c r="F212" s="6">
        <v>0.5988310185185185</v>
      </c>
      <c r="G212" s="7">
        <v>12.5</v>
      </c>
      <c r="H212" s="7">
        <f t="shared" si="3"/>
        <v>12.5</v>
      </c>
      <c r="I212" s="3" t="s">
        <v>14</v>
      </c>
      <c r="J212" s="3" t="s">
        <v>15</v>
      </c>
      <c r="K212" s="3" t="s">
        <v>41</v>
      </c>
      <c r="L212" s="3" t="s">
        <v>42</v>
      </c>
    </row>
    <row r="213" spans="1:12" x14ac:dyDescent="0.35">
      <c r="A213" s="3">
        <v>212</v>
      </c>
      <c r="B213" s="3" t="s">
        <v>270</v>
      </c>
      <c r="C213" s="3" t="s">
        <v>355</v>
      </c>
      <c r="D213" s="4">
        <v>1</v>
      </c>
      <c r="E213" s="5">
        <v>42176</v>
      </c>
      <c r="F213" s="6">
        <v>0.72158564814814818</v>
      </c>
      <c r="G213" s="7">
        <v>12.5</v>
      </c>
      <c r="H213" s="7">
        <f t="shared" si="3"/>
        <v>12.5</v>
      </c>
      <c r="I213" s="3" t="s">
        <v>14</v>
      </c>
      <c r="J213" s="3" t="s">
        <v>15</v>
      </c>
      <c r="K213" s="3" t="s">
        <v>41</v>
      </c>
      <c r="L213" s="3" t="s">
        <v>42</v>
      </c>
    </row>
    <row r="214" spans="1:12" x14ac:dyDescent="0.35">
      <c r="A214" s="3">
        <v>213</v>
      </c>
      <c r="B214" s="3" t="s">
        <v>70</v>
      </c>
      <c r="C214" s="3" t="s">
        <v>356</v>
      </c>
      <c r="D214" s="4">
        <v>1</v>
      </c>
      <c r="E214" s="5">
        <v>42178</v>
      </c>
      <c r="F214" s="6">
        <v>0.57710648148148147</v>
      </c>
      <c r="G214" s="7">
        <v>16.75</v>
      </c>
      <c r="H214" s="7">
        <f t="shared" si="3"/>
        <v>16.75</v>
      </c>
      <c r="I214" s="3" t="s">
        <v>14</v>
      </c>
      <c r="J214" s="3" t="s">
        <v>26</v>
      </c>
      <c r="K214" s="3" t="s">
        <v>72</v>
      </c>
      <c r="L214" s="3" t="s">
        <v>73</v>
      </c>
    </row>
    <row r="215" spans="1:12" x14ac:dyDescent="0.35">
      <c r="A215" s="3">
        <v>214</v>
      </c>
      <c r="B215" s="3" t="s">
        <v>43</v>
      </c>
      <c r="C215" s="3" t="s">
        <v>357</v>
      </c>
      <c r="D215" s="4">
        <v>1</v>
      </c>
      <c r="E215" s="5">
        <v>42178</v>
      </c>
      <c r="F215" s="6">
        <v>0.6507060185185185</v>
      </c>
      <c r="G215" s="7">
        <v>12.5</v>
      </c>
      <c r="H215" s="7">
        <f t="shared" si="3"/>
        <v>12.5</v>
      </c>
      <c r="I215" s="3" t="s">
        <v>45</v>
      </c>
      <c r="J215" s="3" t="s">
        <v>31</v>
      </c>
      <c r="K215" s="3" t="s">
        <v>46</v>
      </c>
      <c r="L215" s="3" t="s">
        <v>47</v>
      </c>
    </row>
    <row r="216" spans="1:12" x14ac:dyDescent="0.35">
      <c r="A216" s="3">
        <v>215</v>
      </c>
      <c r="B216" s="3" t="s">
        <v>66</v>
      </c>
      <c r="C216" s="3" t="s">
        <v>358</v>
      </c>
      <c r="D216" s="4">
        <v>1</v>
      </c>
      <c r="E216" s="5">
        <v>42178</v>
      </c>
      <c r="F216" s="6">
        <v>0.70508101851851857</v>
      </c>
      <c r="G216" s="7">
        <v>20.75</v>
      </c>
      <c r="H216" s="7">
        <f t="shared" si="3"/>
        <v>20.75</v>
      </c>
      <c r="I216" s="3" t="s">
        <v>20</v>
      </c>
      <c r="J216" s="3" t="s">
        <v>31</v>
      </c>
      <c r="K216" s="3" t="s">
        <v>68</v>
      </c>
      <c r="L216" s="3" t="s">
        <v>69</v>
      </c>
    </row>
    <row r="217" spans="1:12" x14ac:dyDescent="0.35">
      <c r="A217" s="3">
        <v>216</v>
      </c>
      <c r="B217" s="3" t="s">
        <v>155</v>
      </c>
      <c r="C217" s="3" t="s">
        <v>359</v>
      </c>
      <c r="D217" s="4">
        <v>1</v>
      </c>
      <c r="E217" s="5">
        <v>42179</v>
      </c>
      <c r="F217" s="6">
        <v>0.6086921296296296</v>
      </c>
      <c r="G217" s="7">
        <v>16.5</v>
      </c>
      <c r="H217" s="7">
        <f t="shared" si="3"/>
        <v>16.5</v>
      </c>
      <c r="I217" s="3" t="s">
        <v>14</v>
      </c>
      <c r="J217" s="3" t="s">
        <v>31</v>
      </c>
      <c r="K217" s="3" t="s">
        <v>46</v>
      </c>
      <c r="L217" s="3" t="s">
        <v>47</v>
      </c>
    </row>
    <row r="218" spans="1:12" x14ac:dyDescent="0.35">
      <c r="A218" s="3">
        <v>217</v>
      </c>
      <c r="B218" s="3" t="s">
        <v>84</v>
      </c>
      <c r="C218" s="3" t="s">
        <v>360</v>
      </c>
      <c r="D218" s="4">
        <v>1</v>
      </c>
      <c r="E218" s="5">
        <v>42179</v>
      </c>
      <c r="F218" s="6">
        <v>0.72365740740740747</v>
      </c>
      <c r="G218" s="7">
        <v>20.25</v>
      </c>
      <c r="H218" s="7">
        <f t="shared" si="3"/>
        <v>20.25</v>
      </c>
      <c r="I218" s="3" t="s">
        <v>20</v>
      </c>
      <c r="J218" s="3" t="s">
        <v>31</v>
      </c>
      <c r="K218" s="3" t="s">
        <v>76</v>
      </c>
      <c r="L218" s="3" t="s">
        <v>77</v>
      </c>
    </row>
    <row r="219" spans="1:12" x14ac:dyDescent="0.35">
      <c r="A219" s="3">
        <v>218</v>
      </c>
      <c r="B219" s="3" t="s">
        <v>254</v>
      </c>
      <c r="C219" s="3" t="s">
        <v>361</v>
      </c>
      <c r="D219" s="4">
        <v>1</v>
      </c>
      <c r="E219" s="5">
        <v>42179</v>
      </c>
      <c r="F219" s="6">
        <v>0.82209490740740743</v>
      </c>
      <c r="G219" s="7">
        <v>16</v>
      </c>
      <c r="H219" s="7">
        <f t="shared" si="3"/>
        <v>16</v>
      </c>
      <c r="I219" s="3" t="s">
        <v>14</v>
      </c>
      <c r="J219" s="3" t="s">
        <v>15</v>
      </c>
      <c r="K219" s="3" t="s">
        <v>180</v>
      </c>
      <c r="L219" s="3" t="s">
        <v>181</v>
      </c>
    </row>
    <row r="220" spans="1:12" x14ac:dyDescent="0.35">
      <c r="A220" s="3">
        <v>219</v>
      </c>
      <c r="B220" s="3" t="s">
        <v>170</v>
      </c>
      <c r="C220" s="3" t="s">
        <v>362</v>
      </c>
      <c r="D220" s="4">
        <v>1</v>
      </c>
      <c r="E220" s="5">
        <v>42179</v>
      </c>
      <c r="F220" s="6">
        <v>0.86253472222222216</v>
      </c>
      <c r="G220" s="7">
        <v>12</v>
      </c>
      <c r="H220" s="7">
        <f t="shared" si="3"/>
        <v>12</v>
      </c>
      <c r="I220" s="3" t="s">
        <v>45</v>
      </c>
      <c r="J220" s="3" t="s">
        <v>15</v>
      </c>
      <c r="K220" s="3" t="s">
        <v>172</v>
      </c>
      <c r="L220" s="3" t="s">
        <v>173</v>
      </c>
    </row>
    <row r="221" spans="1:12" x14ac:dyDescent="0.35">
      <c r="A221" s="3">
        <v>220</v>
      </c>
      <c r="B221" s="3" t="s">
        <v>270</v>
      </c>
      <c r="C221" s="3" t="s">
        <v>363</v>
      </c>
      <c r="D221" s="4">
        <v>1</v>
      </c>
      <c r="E221" s="5">
        <v>42180</v>
      </c>
      <c r="F221" s="6">
        <v>0.57207175925925924</v>
      </c>
      <c r="G221" s="7">
        <v>12.5</v>
      </c>
      <c r="H221" s="7">
        <f t="shared" si="3"/>
        <v>12.5</v>
      </c>
      <c r="I221" s="3" t="s">
        <v>14</v>
      </c>
      <c r="J221" s="3" t="s">
        <v>15</v>
      </c>
      <c r="K221" s="3" t="s">
        <v>41</v>
      </c>
      <c r="L221" s="3" t="s">
        <v>42</v>
      </c>
    </row>
    <row r="222" spans="1:12" x14ac:dyDescent="0.35">
      <c r="A222" s="3">
        <v>221</v>
      </c>
      <c r="B222" s="3" t="s">
        <v>120</v>
      </c>
      <c r="C222" s="3" t="s">
        <v>364</v>
      </c>
      <c r="D222" s="4">
        <v>1</v>
      </c>
      <c r="E222" s="5">
        <v>42180</v>
      </c>
      <c r="F222" s="6">
        <v>0.62924768518518526</v>
      </c>
      <c r="G222" s="7">
        <v>16</v>
      </c>
      <c r="H222" s="7">
        <f t="shared" si="3"/>
        <v>16</v>
      </c>
      <c r="I222" s="3" t="s">
        <v>14</v>
      </c>
      <c r="J222" s="3" t="s">
        <v>26</v>
      </c>
      <c r="K222" s="3" t="s">
        <v>122</v>
      </c>
      <c r="L222" s="3" t="s">
        <v>123</v>
      </c>
    </row>
    <row r="223" spans="1:12" x14ac:dyDescent="0.35">
      <c r="A223" s="3">
        <v>222</v>
      </c>
      <c r="B223" s="3" t="s">
        <v>12</v>
      </c>
      <c r="C223" s="3" t="s">
        <v>365</v>
      </c>
      <c r="D223" s="4">
        <v>1</v>
      </c>
      <c r="E223" s="5">
        <v>42180</v>
      </c>
      <c r="F223" s="6">
        <v>0.67732638888888885</v>
      </c>
      <c r="G223" s="7">
        <v>16</v>
      </c>
      <c r="H223" s="7">
        <f t="shared" si="3"/>
        <v>16</v>
      </c>
      <c r="I223" s="3" t="s">
        <v>14</v>
      </c>
      <c r="J223" s="3" t="s">
        <v>15</v>
      </c>
      <c r="K223" s="3" t="s">
        <v>16</v>
      </c>
      <c r="L223" s="3" t="s">
        <v>17</v>
      </c>
    </row>
    <row r="224" spans="1:12" x14ac:dyDescent="0.35">
      <c r="A224" s="3">
        <v>223</v>
      </c>
      <c r="B224" s="3" t="s">
        <v>366</v>
      </c>
      <c r="C224" s="3" t="s">
        <v>367</v>
      </c>
      <c r="D224" s="4">
        <v>1</v>
      </c>
      <c r="E224" s="5">
        <v>42182</v>
      </c>
      <c r="F224" s="6">
        <v>0.49829861111111112</v>
      </c>
      <c r="G224" s="7">
        <v>14.5</v>
      </c>
      <c r="H224" s="7">
        <f t="shared" si="3"/>
        <v>14.5</v>
      </c>
      <c r="I224" s="3" t="s">
        <v>14</v>
      </c>
      <c r="J224" s="3" t="s">
        <v>15</v>
      </c>
      <c r="K224" s="3" t="s">
        <v>368</v>
      </c>
      <c r="L224" s="3" t="s">
        <v>369</v>
      </c>
    </row>
    <row r="225" spans="1:12" x14ac:dyDescent="0.35">
      <c r="A225" s="3">
        <v>224</v>
      </c>
      <c r="B225" s="3" t="s">
        <v>201</v>
      </c>
      <c r="C225" s="3" t="s">
        <v>370</v>
      </c>
      <c r="D225" s="4">
        <v>1</v>
      </c>
      <c r="E225" s="5">
        <v>42182</v>
      </c>
      <c r="F225" s="6">
        <v>0.62851851851851859</v>
      </c>
      <c r="G225" s="7">
        <v>16.5</v>
      </c>
      <c r="H225" s="7">
        <f t="shared" si="3"/>
        <v>16.5</v>
      </c>
      <c r="I225" s="3" t="s">
        <v>14</v>
      </c>
      <c r="J225" s="3" t="s">
        <v>31</v>
      </c>
      <c r="K225" s="3" t="s">
        <v>50</v>
      </c>
      <c r="L225" s="3" t="s">
        <v>51</v>
      </c>
    </row>
    <row r="226" spans="1:12" x14ac:dyDescent="0.35">
      <c r="A226" s="3">
        <v>225</v>
      </c>
      <c r="B226" s="3" t="s">
        <v>74</v>
      </c>
      <c r="C226" s="3" t="s">
        <v>371</v>
      </c>
      <c r="D226" s="4">
        <v>1</v>
      </c>
      <c r="E226" s="5">
        <v>42182</v>
      </c>
      <c r="F226" s="6">
        <v>0.74111111111111105</v>
      </c>
      <c r="G226" s="7">
        <v>12.25</v>
      </c>
      <c r="H226" s="7">
        <f t="shared" si="3"/>
        <v>12.25</v>
      </c>
      <c r="I226" s="3" t="s">
        <v>45</v>
      </c>
      <c r="J226" s="3" t="s">
        <v>31</v>
      </c>
      <c r="K226" s="3" t="s">
        <v>76</v>
      </c>
      <c r="L226" s="3" t="s">
        <v>77</v>
      </c>
    </row>
    <row r="227" spans="1:12" x14ac:dyDescent="0.35">
      <c r="A227" s="3">
        <v>226</v>
      </c>
      <c r="B227" s="3" t="s">
        <v>79</v>
      </c>
      <c r="C227" s="3" t="s">
        <v>372</v>
      </c>
      <c r="D227" s="4">
        <v>1</v>
      </c>
      <c r="E227" s="5">
        <v>42183</v>
      </c>
      <c r="F227" s="6">
        <v>0.63260416666666663</v>
      </c>
      <c r="G227" s="7">
        <v>12.75</v>
      </c>
      <c r="H227" s="7">
        <f t="shared" si="3"/>
        <v>12.75</v>
      </c>
      <c r="I227" s="3" t="s">
        <v>45</v>
      </c>
      <c r="J227" s="3" t="s">
        <v>21</v>
      </c>
      <c r="K227" s="3" t="s">
        <v>81</v>
      </c>
      <c r="L227" s="3" t="s">
        <v>82</v>
      </c>
    </row>
    <row r="228" spans="1:12" x14ac:dyDescent="0.35">
      <c r="A228" s="3">
        <v>227</v>
      </c>
      <c r="B228" s="3" t="s">
        <v>238</v>
      </c>
      <c r="C228" s="3" t="s">
        <v>373</v>
      </c>
      <c r="D228" s="4">
        <v>1</v>
      </c>
      <c r="E228" s="5">
        <v>42184</v>
      </c>
      <c r="F228" s="6">
        <v>0.65297453703703701</v>
      </c>
      <c r="G228" s="7">
        <v>20.25</v>
      </c>
      <c r="H228" s="7">
        <f t="shared" si="3"/>
        <v>20.25</v>
      </c>
      <c r="I228" s="3" t="s">
        <v>20</v>
      </c>
      <c r="J228" s="3" t="s">
        <v>26</v>
      </c>
      <c r="K228" s="3" t="s">
        <v>56</v>
      </c>
      <c r="L228" s="3" t="s">
        <v>57</v>
      </c>
    </row>
    <row r="229" spans="1:12" x14ac:dyDescent="0.35">
      <c r="A229" s="3">
        <v>228</v>
      </c>
      <c r="B229" s="3" t="s">
        <v>195</v>
      </c>
      <c r="C229" s="3" t="s">
        <v>374</v>
      </c>
      <c r="D229" s="4">
        <v>1</v>
      </c>
      <c r="E229" s="5">
        <v>42184</v>
      </c>
      <c r="F229" s="6">
        <v>0.73195601851851855</v>
      </c>
      <c r="G229" s="7">
        <v>12</v>
      </c>
      <c r="H229" s="7">
        <f t="shared" si="3"/>
        <v>12</v>
      </c>
      <c r="I229" s="3" t="s">
        <v>45</v>
      </c>
      <c r="J229" s="3" t="s">
        <v>26</v>
      </c>
      <c r="K229" s="3" t="s">
        <v>197</v>
      </c>
      <c r="L229" s="3" t="s">
        <v>198</v>
      </c>
    </row>
    <row r="230" spans="1:12" x14ac:dyDescent="0.35">
      <c r="A230" s="3">
        <v>229</v>
      </c>
      <c r="B230" s="3" t="s">
        <v>248</v>
      </c>
      <c r="C230" s="3" t="s">
        <v>375</v>
      </c>
      <c r="D230" s="4">
        <v>1</v>
      </c>
      <c r="E230" s="5">
        <v>42184</v>
      </c>
      <c r="F230" s="6">
        <v>0.86915509259259249</v>
      </c>
      <c r="G230" s="7">
        <v>16.75</v>
      </c>
      <c r="H230" s="7">
        <f t="shared" si="3"/>
        <v>16.75</v>
      </c>
      <c r="I230" s="3" t="s">
        <v>14</v>
      </c>
      <c r="J230" s="3" t="s">
        <v>21</v>
      </c>
      <c r="K230" s="3" t="s">
        <v>81</v>
      </c>
      <c r="L230" s="3" t="s">
        <v>82</v>
      </c>
    </row>
    <row r="231" spans="1:12" x14ac:dyDescent="0.35">
      <c r="A231" s="3">
        <v>230</v>
      </c>
      <c r="B231" s="3" t="s">
        <v>74</v>
      </c>
      <c r="C231" s="3" t="s">
        <v>376</v>
      </c>
      <c r="D231" s="4">
        <v>1</v>
      </c>
      <c r="E231" s="5">
        <v>42185</v>
      </c>
      <c r="F231" s="6">
        <v>0.86681712962962953</v>
      </c>
      <c r="G231" s="7">
        <v>12.25</v>
      </c>
      <c r="H231" s="7">
        <f t="shared" si="3"/>
        <v>12.25</v>
      </c>
      <c r="I231" s="3" t="s">
        <v>45</v>
      </c>
      <c r="J231" s="3" t="s">
        <v>31</v>
      </c>
      <c r="K231" s="3" t="s">
        <v>76</v>
      </c>
      <c r="L231" s="3" t="s">
        <v>77</v>
      </c>
    </row>
    <row r="232" spans="1:12" x14ac:dyDescent="0.35">
      <c r="A232" s="3">
        <v>231</v>
      </c>
      <c r="B232" s="3" t="s">
        <v>191</v>
      </c>
      <c r="C232" s="3" t="s">
        <v>377</v>
      </c>
      <c r="D232" s="4">
        <v>1</v>
      </c>
      <c r="E232" s="5">
        <v>42187</v>
      </c>
      <c r="F232" s="6">
        <v>0.56334490740740739</v>
      </c>
      <c r="G232" s="7">
        <v>20.75</v>
      </c>
      <c r="H232" s="7">
        <f t="shared" si="3"/>
        <v>20.75</v>
      </c>
      <c r="I232" s="3" t="s">
        <v>20</v>
      </c>
      <c r="J232" s="3" t="s">
        <v>26</v>
      </c>
      <c r="K232" s="3" t="s">
        <v>166</v>
      </c>
      <c r="L232" s="3" t="s">
        <v>167</v>
      </c>
    </row>
    <row r="233" spans="1:12" x14ac:dyDescent="0.35">
      <c r="A233" s="3">
        <v>232</v>
      </c>
      <c r="B233" s="3" t="s">
        <v>170</v>
      </c>
      <c r="C233" s="3" t="s">
        <v>378</v>
      </c>
      <c r="D233" s="4">
        <v>1</v>
      </c>
      <c r="E233" s="5">
        <v>42187</v>
      </c>
      <c r="F233" s="6">
        <v>0.76489583333333344</v>
      </c>
      <c r="G233" s="7">
        <v>12</v>
      </c>
      <c r="H233" s="7">
        <f t="shared" si="3"/>
        <v>12</v>
      </c>
      <c r="I233" s="3" t="s">
        <v>45</v>
      </c>
      <c r="J233" s="3" t="s">
        <v>15</v>
      </c>
      <c r="K233" s="3" t="s">
        <v>172</v>
      </c>
      <c r="L233" s="3" t="s">
        <v>173</v>
      </c>
    </row>
    <row r="234" spans="1:12" x14ac:dyDescent="0.35">
      <c r="A234" s="3">
        <v>233</v>
      </c>
      <c r="B234" s="3" t="s">
        <v>111</v>
      </c>
      <c r="C234" s="3" t="s">
        <v>379</v>
      </c>
      <c r="D234" s="4">
        <v>1</v>
      </c>
      <c r="E234" s="5">
        <v>42188</v>
      </c>
      <c r="F234" s="6">
        <v>0.71685185185185185</v>
      </c>
      <c r="G234" s="7">
        <v>20.75</v>
      </c>
      <c r="H234" s="7">
        <f t="shared" si="3"/>
        <v>20.75</v>
      </c>
      <c r="I234" s="3" t="s">
        <v>20</v>
      </c>
      <c r="J234" s="3" t="s">
        <v>21</v>
      </c>
      <c r="K234" s="3" t="s">
        <v>81</v>
      </c>
      <c r="L234" s="3" t="s">
        <v>82</v>
      </c>
    </row>
    <row r="235" spans="1:12" x14ac:dyDescent="0.35">
      <c r="A235" s="3">
        <v>234</v>
      </c>
      <c r="B235" s="3" t="s">
        <v>111</v>
      </c>
      <c r="C235" s="3" t="s">
        <v>380</v>
      </c>
      <c r="D235" s="4">
        <v>1</v>
      </c>
      <c r="E235" s="5">
        <v>42188</v>
      </c>
      <c r="F235" s="6">
        <v>0.79921296296296296</v>
      </c>
      <c r="G235" s="7">
        <v>20.75</v>
      </c>
      <c r="H235" s="7">
        <f t="shared" si="3"/>
        <v>20.75</v>
      </c>
      <c r="I235" s="3" t="s">
        <v>20</v>
      </c>
      <c r="J235" s="3" t="s">
        <v>21</v>
      </c>
      <c r="K235" s="3" t="s">
        <v>81</v>
      </c>
      <c r="L235" s="3" t="s">
        <v>82</v>
      </c>
    </row>
    <row r="236" spans="1:12" x14ac:dyDescent="0.35">
      <c r="A236" s="3">
        <v>235</v>
      </c>
      <c r="B236" s="3" t="s">
        <v>381</v>
      </c>
      <c r="C236" s="3" t="s">
        <v>382</v>
      </c>
      <c r="D236" s="4">
        <v>1</v>
      </c>
      <c r="E236" s="5">
        <v>42189</v>
      </c>
      <c r="F236" s="6">
        <v>0.72109953703703711</v>
      </c>
      <c r="G236" s="7">
        <v>12.25</v>
      </c>
      <c r="H236" s="7">
        <f t="shared" si="3"/>
        <v>12.25</v>
      </c>
      <c r="I236" s="3" t="s">
        <v>45</v>
      </c>
      <c r="J236" s="3" t="s">
        <v>31</v>
      </c>
      <c r="K236" s="3" t="s">
        <v>146</v>
      </c>
      <c r="L236" s="3" t="s">
        <v>147</v>
      </c>
    </row>
    <row r="237" spans="1:12" x14ac:dyDescent="0.35">
      <c r="A237" s="3">
        <v>236</v>
      </c>
      <c r="B237" s="3" t="s">
        <v>120</v>
      </c>
      <c r="C237" s="3" t="s">
        <v>383</v>
      </c>
      <c r="D237" s="4">
        <v>1</v>
      </c>
      <c r="E237" s="5">
        <v>42189</v>
      </c>
      <c r="F237" s="6">
        <v>0.84526620370370376</v>
      </c>
      <c r="G237" s="7">
        <v>16</v>
      </c>
      <c r="H237" s="7">
        <f t="shared" si="3"/>
        <v>16</v>
      </c>
      <c r="I237" s="3" t="s">
        <v>14</v>
      </c>
      <c r="J237" s="3" t="s">
        <v>26</v>
      </c>
      <c r="K237" s="3" t="s">
        <v>122</v>
      </c>
      <c r="L237" s="3" t="s">
        <v>123</v>
      </c>
    </row>
    <row r="238" spans="1:12" x14ac:dyDescent="0.35">
      <c r="A238" s="3">
        <v>237</v>
      </c>
      <c r="B238" s="3" t="s">
        <v>221</v>
      </c>
      <c r="C238" s="3" t="s">
        <v>384</v>
      </c>
      <c r="D238" s="4">
        <v>1</v>
      </c>
      <c r="E238" s="5">
        <v>42189</v>
      </c>
      <c r="F238" s="6">
        <v>0.85164351851851849</v>
      </c>
      <c r="G238" s="7">
        <v>16.25</v>
      </c>
      <c r="H238" s="7">
        <f t="shared" si="3"/>
        <v>16.25</v>
      </c>
      <c r="I238" s="3" t="s">
        <v>14</v>
      </c>
      <c r="J238" s="3" t="s">
        <v>31</v>
      </c>
      <c r="K238" s="3" t="s">
        <v>146</v>
      </c>
      <c r="L238" s="3" t="s">
        <v>147</v>
      </c>
    </row>
    <row r="239" spans="1:12" x14ac:dyDescent="0.35">
      <c r="A239" s="3">
        <v>238</v>
      </c>
      <c r="B239" s="3" t="s">
        <v>94</v>
      </c>
      <c r="C239" s="3" t="s">
        <v>385</v>
      </c>
      <c r="D239" s="4">
        <v>1</v>
      </c>
      <c r="E239" s="5">
        <v>42189</v>
      </c>
      <c r="F239" s="6">
        <v>0.89067129629629627</v>
      </c>
      <c r="G239" s="7">
        <v>9.75</v>
      </c>
      <c r="H239" s="7">
        <f t="shared" si="3"/>
        <v>9.75</v>
      </c>
      <c r="I239" s="3" t="s">
        <v>45</v>
      </c>
      <c r="J239" s="3" t="s">
        <v>15</v>
      </c>
      <c r="K239" s="3" t="s">
        <v>41</v>
      </c>
      <c r="L239" s="3" t="s">
        <v>42</v>
      </c>
    </row>
    <row r="240" spans="1:12" x14ac:dyDescent="0.35">
      <c r="A240" s="3">
        <v>239</v>
      </c>
      <c r="B240" s="3" t="s">
        <v>195</v>
      </c>
      <c r="C240" s="3" t="s">
        <v>386</v>
      </c>
      <c r="D240" s="4">
        <v>1</v>
      </c>
      <c r="E240" s="5">
        <v>42190</v>
      </c>
      <c r="F240" s="6">
        <v>0.89326388888888886</v>
      </c>
      <c r="G240" s="7">
        <v>12</v>
      </c>
      <c r="H240" s="7">
        <f t="shared" si="3"/>
        <v>12</v>
      </c>
      <c r="I240" s="3" t="s">
        <v>45</v>
      </c>
      <c r="J240" s="3" t="s">
        <v>26</v>
      </c>
      <c r="K240" s="3" t="s">
        <v>197</v>
      </c>
      <c r="L240" s="3" t="s">
        <v>198</v>
      </c>
    </row>
    <row r="241" spans="1:12" x14ac:dyDescent="0.35">
      <c r="A241" s="3">
        <v>240</v>
      </c>
      <c r="B241" s="3" t="s">
        <v>34</v>
      </c>
      <c r="C241" s="3" t="s">
        <v>387</v>
      </c>
      <c r="D241" s="4">
        <v>1</v>
      </c>
      <c r="E241" s="5">
        <v>42192</v>
      </c>
      <c r="F241" s="6">
        <v>0.5522569444444444</v>
      </c>
      <c r="G241" s="7">
        <v>25.5</v>
      </c>
      <c r="H241" s="7">
        <f t="shared" si="3"/>
        <v>25.5</v>
      </c>
      <c r="I241" s="3" t="s">
        <v>36</v>
      </c>
      <c r="J241" s="3" t="s">
        <v>15</v>
      </c>
      <c r="K241" s="3" t="s">
        <v>37</v>
      </c>
      <c r="L241" s="3" t="s">
        <v>38</v>
      </c>
    </row>
    <row r="242" spans="1:12" x14ac:dyDescent="0.35">
      <c r="A242" s="3">
        <v>241</v>
      </c>
      <c r="B242" s="3" t="s">
        <v>229</v>
      </c>
      <c r="C242" s="3" t="s">
        <v>388</v>
      </c>
      <c r="D242" s="4">
        <v>1</v>
      </c>
      <c r="E242" s="5">
        <v>42192</v>
      </c>
      <c r="F242" s="6">
        <v>0.7365856481481482</v>
      </c>
      <c r="G242" s="7">
        <v>20.25</v>
      </c>
      <c r="H242" s="7">
        <f t="shared" si="3"/>
        <v>20.25</v>
      </c>
      <c r="I242" s="3" t="s">
        <v>20</v>
      </c>
      <c r="J242" s="3" t="s">
        <v>26</v>
      </c>
      <c r="K242" s="3" t="s">
        <v>122</v>
      </c>
      <c r="L242" s="3" t="s">
        <v>123</v>
      </c>
    </row>
    <row r="243" spans="1:12" x14ac:dyDescent="0.35">
      <c r="A243" s="3">
        <v>242</v>
      </c>
      <c r="B243" s="3" t="s">
        <v>170</v>
      </c>
      <c r="C243" s="3" t="s">
        <v>389</v>
      </c>
      <c r="D243" s="4">
        <v>1</v>
      </c>
      <c r="E243" s="5">
        <v>42192</v>
      </c>
      <c r="F243" s="6">
        <v>0.8260185185185186</v>
      </c>
      <c r="G243" s="7">
        <v>12</v>
      </c>
      <c r="H243" s="7">
        <f t="shared" si="3"/>
        <v>12</v>
      </c>
      <c r="I243" s="3" t="s">
        <v>45</v>
      </c>
      <c r="J243" s="3" t="s">
        <v>15</v>
      </c>
      <c r="K243" s="3" t="s">
        <v>172</v>
      </c>
      <c r="L243" s="3" t="s">
        <v>173</v>
      </c>
    </row>
    <row r="244" spans="1:12" x14ac:dyDescent="0.35">
      <c r="A244" s="3">
        <v>243</v>
      </c>
      <c r="B244" s="3" t="s">
        <v>162</v>
      </c>
      <c r="C244" s="3" t="s">
        <v>390</v>
      </c>
      <c r="D244" s="4">
        <v>1</v>
      </c>
      <c r="E244" s="5">
        <v>42192</v>
      </c>
      <c r="F244" s="6">
        <v>0.83555555555555561</v>
      </c>
      <c r="G244" s="7">
        <v>20.75</v>
      </c>
      <c r="H244" s="7">
        <f t="shared" si="3"/>
        <v>20.75</v>
      </c>
      <c r="I244" s="3" t="s">
        <v>20</v>
      </c>
      <c r="J244" s="3" t="s">
        <v>21</v>
      </c>
      <c r="K244" s="3" t="s">
        <v>92</v>
      </c>
      <c r="L244" s="3" t="s">
        <v>93</v>
      </c>
    </row>
    <row r="245" spans="1:12" x14ac:dyDescent="0.35">
      <c r="A245" s="3">
        <v>244</v>
      </c>
      <c r="B245" s="3" t="s">
        <v>187</v>
      </c>
      <c r="C245" s="3" t="s">
        <v>391</v>
      </c>
      <c r="D245" s="4">
        <v>1</v>
      </c>
      <c r="E245" s="5">
        <v>42195</v>
      </c>
      <c r="F245" s="6">
        <v>0.93800925925925915</v>
      </c>
      <c r="G245" s="7">
        <v>13.25</v>
      </c>
      <c r="H245" s="7">
        <f t="shared" si="3"/>
        <v>13.25</v>
      </c>
      <c r="I245" s="3" t="s">
        <v>14</v>
      </c>
      <c r="J245" s="3" t="s">
        <v>15</v>
      </c>
      <c r="K245" s="3" t="s">
        <v>107</v>
      </c>
      <c r="L245" s="3" t="s">
        <v>108</v>
      </c>
    </row>
    <row r="246" spans="1:12" x14ac:dyDescent="0.35">
      <c r="A246" s="3">
        <v>245</v>
      </c>
      <c r="B246" s="3" t="s">
        <v>195</v>
      </c>
      <c r="C246" s="3" t="s">
        <v>392</v>
      </c>
      <c r="D246" s="4">
        <v>1</v>
      </c>
      <c r="E246" s="5">
        <v>42196</v>
      </c>
      <c r="F246" s="6">
        <v>0.73335648148148147</v>
      </c>
      <c r="G246" s="7">
        <v>12</v>
      </c>
      <c r="H246" s="7">
        <f t="shared" si="3"/>
        <v>12</v>
      </c>
      <c r="I246" s="3" t="s">
        <v>45</v>
      </c>
      <c r="J246" s="3" t="s">
        <v>26</v>
      </c>
      <c r="K246" s="3" t="s">
        <v>197</v>
      </c>
      <c r="L246" s="3" t="s">
        <v>198</v>
      </c>
    </row>
    <row r="247" spans="1:12" x14ac:dyDescent="0.35">
      <c r="A247" s="3">
        <v>246</v>
      </c>
      <c r="B247" s="3" t="s">
        <v>158</v>
      </c>
      <c r="C247" s="3" t="s">
        <v>393</v>
      </c>
      <c r="D247" s="4">
        <v>1</v>
      </c>
      <c r="E247" s="5">
        <v>42196</v>
      </c>
      <c r="F247" s="6">
        <v>0.82021990740740736</v>
      </c>
      <c r="G247" s="7">
        <v>20.75</v>
      </c>
      <c r="H247" s="7">
        <f t="shared" si="3"/>
        <v>20.75</v>
      </c>
      <c r="I247" s="3" t="s">
        <v>20</v>
      </c>
      <c r="J247" s="3" t="s">
        <v>31</v>
      </c>
      <c r="K247" s="3" t="s">
        <v>46</v>
      </c>
      <c r="L247" s="3" t="s">
        <v>47</v>
      </c>
    </row>
    <row r="248" spans="1:12" x14ac:dyDescent="0.35">
      <c r="A248" s="3">
        <v>247</v>
      </c>
      <c r="B248" s="3" t="s">
        <v>86</v>
      </c>
      <c r="C248" s="3" t="s">
        <v>394</v>
      </c>
      <c r="D248" s="4">
        <v>1</v>
      </c>
      <c r="E248" s="5">
        <v>42199</v>
      </c>
      <c r="F248" s="6">
        <v>0.81997685185185187</v>
      </c>
      <c r="G248" s="7">
        <v>16.5</v>
      </c>
      <c r="H248" s="7">
        <f t="shared" si="3"/>
        <v>16.5</v>
      </c>
      <c r="I248" s="3" t="s">
        <v>14</v>
      </c>
      <c r="J248" s="3" t="s">
        <v>31</v>
      </c>
      <c r="K248" s="3" t="s">
        <v>88</v>
      </c>
      <c r="L248" s="3" t="s">
        <v>89</v>
      </c>
    </row>
    <row r="249" spans="1:12" x14ac:dyDescent="0.35">
      <c r="A249" s="3">
        <v>248</v>
      </c>
      <c r="B249" s="3" t="s">
        <v>203</v>
      </c>
      <c r="C249" s="3" t="s">
        <v>395</v>
      </c>
      <c r="D249" s="4">
        <v>1</v>
      </c>
      <c r="E249" s="5">
        <v>42200</v>
      </c>
      <c r="F249" s="6">
        <v>0.67163194444444452</v>
      </c>
      <c r="G249" s="7">
        <v>16.5</v>
      </c>
      <c r="H249" s="7">
        <f t="shared" si="3"/>
        <v>16.5</v>
      </c>
      <c r="I249" s="3" t="s">
        <v>14</v>
      </c>
      <c r="J249" s="3" t="s">
        <v>31</v>
      </c>
      <c r="K249" s="3" t="s">
        <v>68</v>
      </c>
      <c r="L249" s="3" t="s">
        <v>69</v>
      </c>
    </row>
    <row r="250" spans="1:12" x14ac:dyDescent="0.35">
      <c r="A250" s="3">
        <v>249</v>
      </c>
      <c r="B250" s="3" t="s">
        <v>124</v>
      </c>
      <c r="C250" s="3" t="s">
        <v>396</v>
      </c>
      <c r="D250" s="4">
        <v>1</v>
      </c>
      <c r="E250" s="5">
        <v>42201</v>
      </c>
      <c r="F250" s="6">
        <v>0.68973379629629628</v>
      </c>
      <c r="G250" s="7">
        <v>12.5</v>
      </c>
      <c r="H250" s="7">
        <f t="shared" si="3"/>
        <v>12.5</v>
      </c>
      <c r="I250" s="3" t="s">
        <v>45</v>
      </c>
      <c r="J250" s="3" t="s">
        <v>31</v>
      </c>
      <c r="K250" s="3" t="s">
        <v>88</v>
      </c>
      <c r="L250" s="3" t="s">
        <v>89</v>
      </c>
    </row>
    <row r="251" spans="1:12" x14ac:dyDescent="0.35">
      <c r="A251" s="3">
        <v>250</v>
      </c>
      <c r="B251" s="3" t="s">
        <v>66</v>
      </c>
      <c r="C251" s="3" t="s">
        <v>397</v>
      </c>
      <c r="D251" s="4">
        <v>1</v>
      </c>
      <c r="E251" s="5">
        <v>42201</v>
      </c>
      <c r="F251" s="6">
        <v>0.72355324074074068</v>
      </c>
      <c r="G251" s="7">
        <v>20.75</v>
      </c>
      <c r="H251" s="7">
        <f t="shared" si="3"/>
        <v>20.75</v>
      </c>
      <c r="I251" s="3" t="s">
        <v>20</v>
      </c>
      <c r="J251" s="3" t="s">
        <v>31</v>
      </c>
      <c r="K251" s="3" t="s">
        <v>68</v>
      </c>
      <c r="L251" s="3" t="s">
        <v>69</v>
      </c>
    </row>
    <row r="252" spans="1:12" x14ac:dyDescent="0.35">
      <c r="A252" s="3">
        <v>251</v>
      </c>
      <c r="B252" s="3" t="s">
        <v>218</v>
      </c>
      <c r="C252" s="3" t="s">
        <v>398</v>
      </c>
      <c r="D252" s="4">
        <v>1</v>
      </c>
      <c r="E252" s="5">
        <v>42202</v>
      </c>
      <c r="F252" s="6">
        <v>0.59414351851851854</v>
      </c>
      <c r="G252" s="7">
        <v>16.75</v>
      </c>
      <c r="H252" s="7">
        <f t="shared" si="3"/>
        <v>16.75</v>
      </c>
      <c r="I252" s="3" t="s">
        <v>14</v>
      </c>
      <c r="J252" s="3" t="s">
        <v>21</v>
      </c>
      <c r="K252" s="3" t="s">
        <v>140</v>
      </c>
      <c r="L252" s="3" t="s">
        <v>141</v>
      </c>
    </row>
    <row r="253" spans="1:12" x14ac:dyDescent="0.35">
      <c r="A253" s="3">
        <v>252</v>
      </c>
      <c r="B253" s="3" t="s">
        <v>170</v>
      </c>
      <c r="C253" s="3" t="s">
        <v>399</v>
      </c>
      <c r="D253" s="4">
        <v>1</v>
      </c>
      <c r="E253" s="5">
        <v>42202</v>
      </c>
      <c r="F253" s="6">
        <v>0.68462962962962959</v>
      </c>
      <c r="G253" s="7">
        <v>12</v>
      </c>
      <c r="H253" s="7">
        <f t="shared" si="3"/>
        <v>12</v>
      </c>
      <c r="I253" s="3" t="s">
        <v>45</v>
      </c>
      <c r="J253" s="3" t="s">
        <v>15</v>
      </c>
      <c r="K253" s="3" t="s">
        <v>172</v>
      </c>
      <c r="L253" s="3" t="s">
        <v>173</v>
      </c>
    </row>
    <row r="254" spans="1:12" x14ac:dyDescent="0.35">
      <c r="A254" s="3">
        <v>253</v>
      </c>
      <c r="B254" s="3" t="s">
        <v>86</v>
      </c>
      <c r="C254" s="3" t="s">
        <v>400</v>
      </c>
      <c r="D254" s="4">
        <v>1</v>
      </c>
      <c r="E254" s="5">
        <v>42203</v>
      </c>
      <c r="F254" s="6">
        <v>0.51315972222222228</v>
      </c>
      <c r="G254" s="7">
        <v>16.5</v>
      </c>
      <c r="H254" s="7">
        <f t="shared" si="3"/>
        <v>16.5</v>
      </c>
      <c r="I254" s="3" t="s">
        <v>14</v>
      </c>
      <c r="J254" s="3" t="s">
        <v>31</v>
      </c>
      <c r="K254" s="3" t="s">
        <v>88</v>
      </c>
      <c r="L254" s="3" t="s">
        <v>89</v>
      </c>
    </row>
    <row r="255" spans="1:12" x14ac:dyDescent="0.35">
      <c r="A255" s="3">
        <v>254</v>
      </c>
      <c r="B255" s="3" t="s">
        <v>218</v>
      </c>
      <c r="C255" s="3" t="s">
        <v>232</v>
      </c>
      <c r="D255" s="4">
        <v>1</v>
      </c>
      <c r="E255" s="5">
        <v>42203</v>
      </c>
      <c r="F255" s="6">
        <v>0.62614583333333329</v>
      </c>
      <c r="G255" s="7">
        <v>16.75</v>
      </c>
      <c r="H255" s="7">
        <f t="shared" si="3"/>
        <v>16.75</v>
      </c>
      <c r="I255" s="3" t="s">
        <v>14</v>
      </c>
      <c r="J255" s="3" t="s">
        <v>21</v>
      </c>
      <c r="K255" s="3" t="s">
        <v>140</v>
      </c>
      <c r="L255" s="3" t="s">
        <v>141</v>
      </c>
    </row>
    <row r="256" spans="1:12" x14ac:dyDescent="0.35">
      <c r="A256" s="3">
        <v>255</v>
      </c>
      <c r="B256" s="3" t="s">
        <v>70</v>
      </c>
      <c r="C256" s="3" t="s">
        <v>401</v>
      </c>
      <c r="D256" s="4">
        <v>2</v>
      </c>
      <c r="E256" s="5">
        <v>42204</v>
      </c>
      <c r="F256" s="6">
        <v>0.58024305555555555</v>
      </c>
      <c r="G256" s="7">
        <v>16.75</v>
      </c>
      <c r="H256" s="7">
        <f t="shared" si="3"/>
        <v>33.5</v>
      </c>
      <c r="I256" s="3" t="s">
        <v>14</v>
      </c>
      <c r="J256" s="3" t="s">
        <v>26</v>
      </c>
      <c r="K256" s="3" t="s">
        <v>72</v>
      </c>
      <c r="L256" s="3" t="s">
        <v>73</v>
      </c>
    </row>
    <row r="257" spans="1:12" x14ac:dyDescent="0.35">
      <c r="A257" s="3">
        <v>256</v>
      </c>
      <c r="B257" s="3" t="s">
        <v>195</v>
      </c>
      <c r="C257" s="3" t="s">
        <v>402</v>
      </c>
      <c r="D257" s="4">
        <v>1</v>
      </c>
      <c r="E257" s="5">
        <v>42204</v>
      </c>
      <c r="F257" s="6">
        <v>0.66468749999999999</v>
      </c>
      <c r="G257" s="7">
        <v>12</v>
      </c>
      <c r="H257" s="7">
        <f t="shared" si="3"/>
        <v>12</v>
      </c>
      <c r="I257" s="3" t="s">
        <v>45</v>
      </c>
      <c r="J257" s="3" t="s">
        <v>26</v>
      </c>
      <c r="K257" s="3" t="s">
        <v>197</v>
      </c>
      <c r="L257" s="3" t="s">
        <v>198</v>
      </c>
    </row>
    <row r="258" spans="1:12" x14ac:dyDescent="0.35">
      <c r="A258" s="3">
        <v>257</v>
      </c>
      <c r="B258" s="3" t="s">
        <v>34</v>
      </c>
      <c r="C258" s="3" t="s">
        <v>403</v>
      </c>
      <c r="D258" s="4">
        <v>1</v>
      </c>
      <c r="E258" s="5">
        <v>42204</v>
      </c>
      <c r="F258" s="6">
        <v>0.77945601851851853</v>
      </c>
      <c r="G258" s="7">
        <v>25.5</v>
      </c>
      <c r="H258" s="7">
        <f t="shared" si="3"/>
        <v>25.5</v>
      </c>
      <c r="I258" s="3" t="s">
        <v>36</v>
      </c>
      <c r="J258" s="3" t="s">
        <v>15</v>
      </c>
      <c r="K258" s="3" t="s">
        <v>37</v>
      </c>
      <c r="L258" s="3" t="s">
        <v>38</v>
      </c>
    </row>
    <row r="259" spans="1:12" x14ac:dyDescent="0.35">
      <c r="A259" s="3">
        <v>258</v>
      </c>
      <c r="B259" s="3" t="s">
        <v>124</v>
      </c>
      <c r="C259" s="3" t="s">
        <v>404</v>
      </c>
      <c r="D259" s="4">
        <v>1</v>
      </c>
      <c r="E259" s="5">
        <v>42205</v>
      </c>
      <c r="F259" s="6">
        <v>0.49306712962962962</v>
      </c>
      <c r="G259" s="7">
        <v>12.5</v>
      </c>
      <c r="H259" s="7">
        <f t="shared" ref="H259:H322" si="4">G259*D259</f>
        <v>12.5</v>
      </c>
      <c r="I259" s="3" t="s">
        <v>45</v>
      </c>
      <c r="J259" s="3" t="s">
        <v>31</v>
      </c>
      <c r="K259" s="3" t="s">
        <v>88</v>
      </c>
      <c r="L259" s="3" t="s">
        <v>89</v>
      </c>
    </row>
    <row r="260" spans="1:12" x14ac:dyDescent="0.35">
      <c r="A260" s="3">
        <v>259</v>
      </c>
      <c r="B260" s="3" t="s">
        <v>405</v>
      </c>
      <c r="C260" s="3" t="s">
        <v>406</v>
      </c>
      <c r="D260" s="4">
        <v>1</v>
      </c>
      <c r="E260" s="5">
        <v>42205</v>
      </c>
      <c r="F260" s="6">
        <v>0.54666666666666663</v>
      </c>
      <c r="G260" s="7">
        <v>20.5</v>
      </c>
      <c r="H260" s="7">
        <f t="shared" si="4"/>
        <v>20.5</v>
      </c>
      <c r="I260" s="3" t="s">
        <v>20</v>
      </c>
      <c r="J260" s="3" t="s">
        <v>15</v>
      </c>
      <c r="K260" s="3" t="s">
        <v>16</v>
      </c>
      <c r="L260" s="3" t="s">
        <v>17</v>
      </c>
    </row>
    <row r="261" spans="1:12" x14ac:dyDescent="0.35">
      <c r="A261" s="3">
        <v>260</v>
      </c>
      <c r="B261" s="3" t="s">
        <v>407</v>
      </c>
      <c r="C261" s="3" t="s">
        <v>408</v>
      </c>
      <c r="D261" s="4">
        <v>1</v>
      </c>
      <c r="E261" s="5">
        <v>42205</v>
      </c>
      <c r="F261" s="6">
        <v>0.6847685185185185</v>
      </c>
      <c r="G261" s="7">
        <v>14.75</v>
      </c>
      <c r="H261" s="7">
        <f t="shared" si="4"/>
        <v>14.75</v>
      </c>
      <c r="I261" s="3" t="s">
        <v>14</v>
      </c>
      <c r="J261" s="3" t="s">
        <v>26</v>
      </c>
      <c r="K261" s="3" t="s">
        <v>60</v>
      </c>
      <c r="L261" s="3" t="s">
        <v>61</v>
      </c>
    </row>
    <row r="262" spans="1:12" x14ac:dyDescent="0.35">
      <c r="A262" s="3">
        <v>261</v>
      </c>
      <c r="B262" s="3" t="s">
        <v>164</v>
      </c>
      <c r="C262" s="3" t="s">
        <v>409</v>
      </c>
      <c r="D262" s="4">
        <v>1</v>
      </c>
      <c r="E262" s="5">
        <v>42205</v>
      </c>
      <c r="F262" s="6">
        <v>0.80984953703703699</v>
      </c>
      <c r="G262" s="7">
        <v>12.5</v>
      </c>
      <c r="H262" s="7">
        <f t="shared" si="4"/>
        <v>12.5</v>
      </c>
      <c r="I262" s="3" t="s">
        <v>45</v>
      </c>
      <c r="J262" s="3" t="s">
        <v>26</v>
      </c>
      <c r="K262" s="3" t="s">
        <v>166</v>
      </c>
      <c r="L262" s="3" t="s">
        <v>167</v>
      </c>
    </row>
    <row r="263" spans="1:12" x14ac:dyDescent="0.35">
      <c r="A263" s="3">
        <v>262</v>
      </c>
      <c r="B263" s="3" t="s">
        <v>178</v>
      </c>
      <c r="C263" s="3" t="s">
        <v>410</v>
      </c>
      <c r="D263" s="4">
        <v>1</v>
      </c>
      <c r="E263" s="5">
        <v>42205</v>
      </c>
      <c r="F263" s="6">
        <v>0.83364583333333331</v>
      </c>
      <c r="G263" s="7">
        <v>20.5</v>
      </c>
      <c r="H263" s="7">
        <f t="shared" si="4"/>
        <v>20.5</v>
      </c>
      <c r="I263" s="3" t="s">
        <v>20</v>
      </c>
      <c r="J263" s="3" t="s">
        <v>15</v>
      </c>
      <c r="K263" s="3" t="s">
        <v>180</v>
      </c>
      <c r="L263" s="3" t="s">
        <v>181</v>
      </c>
    </row>
    <row r="264" spans="1:12" x14ac:dyDescent="0.35">
      <c r="A264" s="3">
        <v>263</v>
      </c>
      <c r="B264" s="3" t="s">
        <v>411</v>
      </c>
      <c r="C264" s="3" t="s">
        <v>412</v>
      </c>
      <c r="D264" s="4">
        <v>1</v>
      </c>
      <c r="E264" s="5">
        <v>42206</v>
      </c>
      <c r="F264" s="6">
        <v>0.70413194444444438</v>
      </c>
      <c r="G264" s="7">
        <v>11</v>
      </c>
      <c r="H264" s="7">
        <f t="shared" si="4"/>
        <v>11</v>
      </c>
      <c r="I264" s="3" t="s">
        <v>45</v>
      </c>
      <c r="J264" s="3" t="s">
        <v>15</v>
      </c>
      <c r="K264" s="3" t="s">
        <v>368</v>
      </c>
      <c r="L264" s="3" t="s">
        <v>369</v>
      </c>
    </row>
    <row r="265" spans="1:12" x14ac:dyDescent="0.35">
      <c r="A265" s="3">
        <v>264</v>
      </c>
      <c r="B265" s="3" t="s">
        <v>66</v>
      </c>
      <c r="C265" s="3" t="s">
        <v>413</v>
      </c>
      <c r="D265" s="4">
        <v>1</v>
      </c>
      <c r="E265" s="5">
        <v>42207</v>
      </c>
      <c r="F265" s="6">
        <v>0.49809027777777781</v>
      </c>
      <c r="G265" s="7">
        <v>20.75</v>
      </c>
      <c r="H265" s="7">
        <f t="shared" si="4"/>
        <v>20.75</v>
      </c>
      <c r="I265" s="3" t="s">
        <v>20</v>
      </c>
      <c r="J265" s="3" t="s">
        <v>31</v>
      </c>
      <c r="K265" s="3" t="s">
        <v>68</v>
      </c>
      <c r="L265" s="3" t="s">
        <v>69</v>
      </c>
    </row>
    <row r="266" spans="1:12" x14ac:dyDescent="0.35">
      <c r="A266" s="3">
        <v>265</v>
      </c>
      <c r="B266" s="3" t="s">
        <v>58</v>
      </c>
      <c r="C266" s="3" t="s">
        <v>414</v>
      </c>
      <c r="D266" s="4">
        <v>1</v>
      </c>
      <c r="E266" s="5">
        <v>42207</v>
      </c>
      <c r="F266" s="6">
        <v>0.81454861111111121</v>
      </c>
      <c r="G266" s="7">
        <v>17.95</v>
      </c>
      <c r="H266" s="7">
        <f t="shared" si="4"/>
        <v>17.95</v>
      </c>
      <c r="I266" s="3" t="s">
        <v>20</v>
      </c>
      <c r="J266" s="3" t="s">
        <v>26</v>
      </c>
      <c r="K266" s="3" t="s">
        <v>60</v>
      </c>
      <c r="L266" s="3" t="s">
        <v>61</v>
      </c>
    </row>
    <row r="267" spans="1:12" x14ac:dyDescent="0.35">
      <c r="A267" s="3">
        <v>266</v>
      </c>
      <c r="B267" s="3" t="s">
        <v>201</v>
      </c>
      <c r="C267" s="3" t="s">
        <v>415</v>
      </c>
      <c r="D267" s="4">
        <v>1</v>
      </c>
      <c r="E267" s="5">
        <v>42207</v>
      </c>
      <c r="F267" s="6">
        <v>0.88289351851851849</v>
      </c>
      <c r="G267" s="7">
        <v>16.5</v>
      </c>
      <c r="H267" s="7">
        <f t="shared" si="4"/>
        <v>16.5</v>
      </c>
      <c r="I267" s="3" t="s">
        <v>14</v>
      </c>
      <c r="J267" s="3" t="s">
        <v>31</v>
      </c>
      <c r="K267" s="3" t="s">
        <v>50</v>
      </c>
      <c r="L267" s="3" t="s">
        <v>51</v>
      </c>
    </row>
    <row r="268" spans="1:12" x14ac:dyDescent="0.35">
      <c r="A268" s="3">
        <v>267</v>
      </c>
      <c r="B268" s="3" t="s">
        <v>126</v>
      </c>
      <c r="C268" s="3" t="s">
        <v>416</v>
      </c>
      <c r="D268" s="4">
        <v>1</v>
      </c>
      <c r="E268" s="5">
        <v>42208</v>
      </c>
      <c r="F268" s="6">
        <v>0.56607638888888889</v>
      </c>
      <c r="G268" s="7">
        <v>10.5</v>
      </c>
      <c r="H268" s="7">
        <f t="shared" si="4"/>
        <v>10.5</v>
      </c>
      <c r="I268" s="3" t="s">
        <v>45</v>
      </c>
      <c r="J268" s="3" t="s">
        <v>15</v>
      </c>
      <c r="K268" s="3" t="s">
        <v>107</v>
      </c>
      <c r="L268" s="3" t="s">
        <v>108</v>
      </c>
    </row>
    <row r="269" spans="1:12" x14ac:dyDescent="0.35">
      <c r="A269" s="3">
        <v>268</v>
      </c>
      <c r="B269" s="3" t="s">
        <v>153</v>
      </c>
      <c r="C269" s="3" t="s">
        <v>417</v>
      </c>
      <c r="D269" s="4">
        <v>1</v>
      </c>
      <c r="E269" s="5">
        <v>42208</v>
      </c>
      <c r="F269" s="6">
        <v>0.88909722222222232</v>
      </c>
      <c r="G269" s="7">
        <v>16.25</v>
      </c>
      <c r="H269" s="7">
        <f t="shared" si="4"/>
        <v>16.25</v>
      </c>
      <c r="I269" s="3" t="s">
        <v>14</v>
      </c>
      <c r="J269" s="3" t="s">
        <v>31</v>
      </c>
      <c r="K269" s="3" t="s">
        <v>76</v>
      </c>
      <c r="L269" s="3" t="s">
        <v>77</v>
      </c>
    </row>
    <row r="270" spans="1:12" x14ac:dyDescent="0.35">
      <c r="A270" s="3">
        <v>269</v>
      </c>
      <c r="B270" s="3" t="s">
        <v>115</v>
      </c>
      <c r="C270" s="3" t="s">
        <v>418</v>
      </c>
      <c r="D270" s="4">
        <v>1</v>
      </c>
      <c r="E270" s="5">
        <v>42209</v>
      </c>
      <c r="F270" s="6">
        <v>0.53697916666666667</v>
      </c>
      <c r="G270" s="7">
        <v>12.5</v>
      </c>
      <c r="H270" s="7">
        <f t="shared" si="4"/>
        <v>12.5</v>
      </c>
      <c r="I270" s="3" t="s">
        <v>45</v>
      </c>
      <c r="J270" s="3" t="s">
        <v>31</v>
      </c>
      <c r="K270" s="3" t="s">
        <v>68</v>
      </c>
      <c r="L270" s="3" t="s">
        <v>69</v>
      </c>
    </row>
    <row r="271" spans="1:12" x14ac:dyDescent="0.35">
      <c r="A271" s="3">
        <v>270</v>
      </c>
      <c r="B271" s="3" t="s">
        <v>195</v>
      </c>
      <c r="C271" s="3" t="s">
        <v>49</v>
      </c>
      <c r="D271" s="4">
        <v>1</v>
      </c>
      <c r="E271" s="5">
        <v>42210</v>
      </c>
      <c r="F271" s="6">
        <v>0.50248842592592591</v>
      </c>
      <c r="G271" s="7">
        <v>12</v>
      </c>
      <c r="H271" s="7">
        <f t="shared" si="4"/>
        <v>12</v>
      </c>
      <c r="I271" s="3" t="s">
        <v>45</v>
      </c>
      <c r="J271" s="3" t="s">
        <v>26</v>
      </c>
      <c r="K271" s="3" t="s">
        <v>197</v>
      </c>
      <c r="L271" s="3" t="s">
        <v>198</v>
      </c>
    </row>
    <row r="272" spans="1:12" x14ac:dyDescent="0.35">
      <c r="A272" s="3">
        <v>271</v>
      </c>
      <c r="B272" s="3" t="s">
        <v>126</v>
      </c>
      <c r="C272" s="3" t="s">
        <v>419</v>
      </c>
      <c r="D272" s="4">
        <v>1</v>
      </c>
      <c r="E272" s="5">
        <v>42210</v>
      </c>
      <c r="F272" s="6">
        <v>0.83835648148148145</v>
      </c>
      <c r="G272" s="7">
        <v>10.5</v>
      </c>
      <c r="H272" s="7">
        <f t="shared" si="4"/>
        <v>10.5</v>
      </c>
      <c r="I272" s="3" t="s">
        <v>45</v>
      </c>
      <c r="J272" s="3" t="s">
        <v>15</v>
      </c>
      <c r="K272" s="3" t="s">
        <v>107</v>
      </c>
      <c r="L272" s="3" t="s">
        <v>108</v>
      </c>
    </row>
    <row r="273" spans="1:12" x14ac:dyDescent="0.35">
      <c r="A273" s="3">
        <v>272</v>
      </c>
      <c r="B273" s="3" t="s">
        <v>158</v>
      </c>
      <c r="C273" s="3" t="s">
        <v>420</v>
      </c>
      <c r="D273" s="4">
        <v>1</v>
      </c>
      <c r="E273" s="5">
        <v>42211</v>
      </c>
      <c r="F273" s="6">
        <v>0.51031250000000006</v>
      </c>
      <c r="G273" s="7">
        <v>20.75</v>
      </c>
      <c r="H273" s="7">
        <f t="shared" si="4"/>
        <v>20.75</v>
      </c>
      <c r="I273" s="3" t="s">
        <v>20</v>
      </c>
      <c r="J273" s="3" t="s">
        <v>31</v>
      </c>
      <c r="K273" s="3" t="s">
        <v>46</v>
      </c>
      <c r="L273" s="3" t="s">
        <v>47</v>
      </c>
    </row>
    <row r="274" spans="1:12" x14ac:dyDescent="0.35">
      <c r="A274" s="3">
        <v>273</v>
      </c>
      <c r="B274" s="3" t="s">
        <v>101</v>
      </c>
      <c r="C274" s="3" t="s">
        <v>421</v>
      </c>
      <c r="D274" s="4">
        <v>1</v>
      </c>
      <c r="E274" s="5">
        <v>42212</v>
      </c>
      <c r="F274" s="6">
        <v>0.71793981481481473</v>
      </c>
      <c r="G274" s="7">
        <v>20.75</v>
      </c>
      <c r="H274" s="7">
        <f t="shared" si="4"/>
        <v>20.75</v>
      </c>
      <c r="I274" s="3" t="s">
        <v>20</v>
      </c>
      <c r="J274" s="3" t="s">
        <v>21</v>
      </c>
      <c r="K274" s="3" t="s">
        <v>103</v>
      </c>
      <c r="L274" s="3" t="s">
        <v>104</v>
      </c>
    </row>
    <row r="275" spans="1:12" x14ac:dyDescent="0.35">
      <c r="A275" s="3">
        <v>274</v>
      </c>
      <c r="B275" s="3" t="s">
        <v>111</v>
      </c>
      <c r="C275" s="3" t="s">
        <v>422</v>
      </c>
      <c r="D275" s="4">
        <v>1</v>
      </c>
      <c r="E275" s="5">
        <v>42214</v>
      </c>
      <c r="F275" s="6">
        <v>0.68217592592592602</v>
      </c>
      <c r="G275" s="7">
        <v>20.75</v>
      </c>
      <c r="H275" s="7">
        <f t="shared" si="4"/>
        <v>20.75</v>
      </c>
      <c r="I275" s="3" t="s">
        <v>20</v>
      </c>
      <c r="J275" s="3" t="s">
        <v>21</v>
      </c>
      <c r="K275" s="3" t="s">
        <v>81</v>
      </c>
      <c r="L275" s="3" t="s">
        <v>82</v>
      </c>
    </row>
    <row r="276" spans="1:12" x14ac:dyDescent="0.35">
      <c r="A276" s="3">
        <v>275</v>
      </c>
      <c r="B276" s="3" t="s">
        <v>170</v>
      </c>
      <c r="C276" s="3" t="s">
        <v>423</v>
      </c>
      <c r="D276" s="4">
        <v>1</v>
      </c>
      <c r="E276" s="5">
        <v>42215</v>
      </c>
      <c r="F276" s="6">
        <v>0.79060185185185183</v>
      </c>
      <c r="G276" s="7">
        <v>12</v>
      </c>
      <c r="H276" s="7">
        <f t="shared" si="4"/>
        <v>12</v>
      </c>
      <c r="I276" s="3" t="s">
        <v>45</v>
      </c>
      <c r="J276" s="3" t="s">
        <v>15</v>
      </c>
      <c r="K276" s="3" t="s">
        <v>172</v>
      </c>
      <c r="L276" s="3" t="s">
        <v>173</v>
      </c>
    </row>
    <row r="277" spans="1:12" x14ac:dyDescent="0.35">
      <c r="A277" s="3">
        <v>276</v>
      </c>
      <c r="B277" s="3" t="s">
        <v>48</v>
      </c>
      <c r="C277" s="3" t="s">
        <v>424</v>
      </c>
      <c r="D277" s="4">
        <v>1</v>
      </c>
      <c r="E277" s="5">
        <v>42216</v>
      </c>
      <c r="F277" s="6">
        <v>0.5264699074074074</v>
      </c>
      <c r="G277" s="7">
        <v>20.75</v>
      </c>
      <c r="H277" s="7">
        <f t="shared" si="4"/>
        <v>20.75</v>
      </c>
      <c r="I277" s="3" t="s">
        <v>20</v>
      </c>
      <c r="J277" s="3" t="s">
        <v>31</v>
      </c>
      <c r="K277" s="3" t="s">
        <v>50</v>
      </c>
      <c r="L277" s="3" t="s">
        <v>51</v>
      </c>
    </row>
    <row r="278" spans="1:12" x14ac:dyDescent="0.35">
      <c r="A278" s="3">
        <v>277</v>
      </c>
      <c r="B278" s="3" t="s">
        <v>195</v>
      </c>
      <c r="C278" s="3" t="s">
        <v>258</v>
      </c>
      <c r="D278" s="4">
        <v>1</v>
      </c>
      <c r="E278" s="5">
        <v>42216</v>
      </c>
      <c r="F278" s="6">
        <v>0.79651620370370368</v>
      </c>
      <c r="G278" s="7">
        <v>12</v>
      </c>
      <c r="H278" s="7">
        <f t="shared" si="4"/>
        <v>12</v>
      </c>
      <c r="I278" s="3" t="s">
        <v>45</v>
      </c>
      <c r="J278" s="3" t="s">
        <v>26</v>
      </c>
      <c r="K278" s="3" t="s">
        <v>197</v>
      </c>
      <c r="L278" s="3" t="s">
        <v>198</v>
      </c>
    </row>
    <row r="279" spans="1:12" x14ac:dyDescent="0.35">
      <c r="A279" s="3">
        <v>278</v>
      </c>
      <c r="B279" s="3" t="s">
        <v>18</v>
      </c>
      <c r="C279" s="3" t="s">
        <v>425</v>
      </c>
      <c r="D279" s="4">
        <v>1</v>
      </c>
      <c r="E279" s="5">
        <v>42218</v>
      </c>
      <c r="F279" s="6">
        <v>0.5740277777777778</v>
      </c>
      <c r="G279" s="7">
        <v>20.75</v>
      </c>
      <c r="H279" s="7">
        <f t="shared" si="4"/>
        <v>20.75</v>
      </c>
      <c r="I279" s="3" t="s">
        <v>20</v>
      </c>
      <c r="J279" s="3" t="s">
        <v>21</v>
      </c>
      <c r="K279" s="3" t="s">
        <v>22</v>
      </c>
      <c r="L279" s="3" t="s">
        <v>23</v>
      </c>
    </row>
    <row r="280" spans="1:12" x14ac:dyDescent="0.35">
      <c r="A280" s="3">
        <v>279</v>
      </c>
      <c r="B280" s="3" t="s">
        <v>426</v>
      </c>
      <c r="C280" s="3" t="s">
        <v>427</v>
      </c>
      <c r="D280" s="4">
        <v>1</v>
      </c>
      <c r="E280" s="5">
        <v>42218</v>
      </c>
      <c r="F280" s="6">
        <v>0.86274305555555564</v>
      </c>
      <c r="G280" s="7">
        <v>20.5</v>
      </c>
      <c r="H280" s="7">
        <f t="shared" si="4"/>
        <v>20.5</v>
      </c>
      <c r="I280" s="3" t="s">
        <v>20</v>
      </c>
      <c r="J280" s="3" t="s">
        <v>15</v>
      </c>
      <c r="K280" s="3" t="s">
        <v>184</v>
      </c>
      <c r="L280" s="3" t="s">
        <v>185</v>
      </c>
    </row>
    <row r="281" spans="1:12" x14ac:dyDescent="0.35">
      <c r="A281" s="3">
        <v>280</v>
      </c>
      <c r="B281" s="3" t="s">
        <v>170</v>
      </c>
      <c r="C281" s="3" t="s">
        <v>428</v>
      </c>
      <c r="D281" s="4">
        <v>1</v>
      </c>
      <c r="E281" s="5">
        <v>42219</v>
      </c>
      <c r="F281" s="6">
        <v>0.79484953703703709</v>
      </c>
      <c r="G281" s="7">
        <v>12</v>
      </c>
      <c r="H281" s="7">
        <f t="shared" si="4"/>
        <v>12</v>
      </c>
      <c r="I281" s="3" t="s">
        <v>45</v>
      </c>
      <c r="J281" s="3" t="s">
        <v>15</v>
      </c>
      <c r="K281" s="3" t="s">
        <v>172</v>
      </c>
      <c r="L281" s="3" t="s">
        <v>173</v>
      </c>
    </row>
    <row r="282" spans="1:12" x14ac:dyDescent="0.35">
      <c r="A282" s="3">
        <v>281</v>
      </c>
      <c r="B282" s="3" t="s">
        <v>248</v>
      </c>
      <c r="C282" s="3" t="s">
        <v>429</v>
      </c>
      <c r="D282" s="4">
        <v>1</v>
      </c>
      <c r="E282" s="5">
        <v>42221</v>
      </c>
      <c r="F282" s="6">
        <v>0.48842592592592587</v>
      </c>
      <c r="G282" s="7">
        <v>16.75</v>
      </c>
      <c r="H282" s="7">
        <f t="shared" si="4"/>
        <v>16.75</v>
      </c>
      <c r="I282" s="3" t="s">
        <v>14</v>
      </c>
      <c r="J282" s="3" t="s">
        <v>21</v>
      </c>
      <c r="K282" s="3" t="s">
        <v>81</v>
      </c>
      <c r="L282" s="3" t="s">
        <v>82</v>
      </c>
    </row>
    <row r="283" spans="1:12" x14ac:dyDescent="0.35">
      <c r="A283" s="3">
        <v>282</v>
      </c>
      <c r="B283" s="3" t="s">
        <v>135</v>
      </c>
      <c r="C283" s="3" t="s">
        <v>430</v>
      </c>
      <c r="D283" s="4">
        <v>1</v>
      </c>
      <c r="E283" s="5">
        <v>42221</v>
      </c>
      <c r="F283" s="6">
        <v>0.77638888888888891</v>
      </c>
      <c r="G283" s="7">
        <v>20.5</v>
      </c>
      <c r="H283" s="7">
        <f t="shared" si="4"/>
        <v>20.5</v>
      </c>
      <c r="I283" s="3" t="s">
        <v>20</v>
      </c>
      <c r="J283" s="3" t="s">
        <v>15</v>
      </c>
      <c r="K283" s="3" t="s">
        <v>37</v>
      </c>
      <c r="L283" s="3" t="s">
        <v>38</v>
      </c>
    </row>
    <row r="284" spans="1:12" x14ac:dyDescent="0.35">
      <c r="A284" s="3">
        <v>283</v>
      </c>
      <c r="B284" s="3" t="s">
        <v>74</v>
      </c>
      <c r="C284" s="3" t="s">
        <v>431</v>
      </c>
      <c r="D284" s="4">
        <v>1</v>
      </c>
      <c r="E284" s="5">
        <v>42222</v>
      </c>
      <c r="F284" s="6">
        <v>0.50082175925925931</v>
      </c>
      <c r="G284" s="7">
        <v>12.25</v>
      </c>
      <c r="H284" s="7">
        <f t="shared" si="4"/>
        <v>12.25</v>
      </c>
      <c r="I284" s="3" t="s">
        <v>45</v>
      </c>
      <c r="J284" s="3" t="s">
        <v>31</v>
      </c>
      <c r="K284" s="3" t="s">
        <v>76</v>
      </c>
      <c r="L284" s="3" t="s">
        <v>77</v>
      </c>
    </row>
    <row r="285" spans="1:12" x14ac:dyDescent="0.35">
      <c r="A285" s="3">
        <v>284</v>
      </c>
      <c r="B285" s="3" t="s">
        <v>215</v>
      </c>
      <c r="C285" s="3" t="s">
        <v>432</v>
      </c>
      <c r="D285" s="4">
        <v>1</v>
      </c>
      <c r="E285" s="5">
        <v>42222</v>
      </c>
      <c r="F285" s="6">
        <v>0.59255787037037033</v>
      </c>
      <c r="G285" s="7">
        <v>12</v>
      </c>
      <c r="H285" s="7">
        <f t="shared" si="4"/>
        <v>12</v>
      </c>
      <c r="I285" s="3" t="s">
        <v>45</v>
      </c>
      <c r="J285" s="3" t="s">
        <v>26</v>
      </c>
      <c r="K285" s="3" t="s">
        <v>122</v>
      </c>
      <c r="L285" s="3" t="s">
        <v>123</v>
      </c>
    </row>
    <row r="286" spans="1:12" x14ac:dyDescent="0.35">
      <c r="A286" s="3">
        <v>285</v>
      </c>
      <c r="B286" s="3" t="s">
        <v>298</v>
      </c>
      <c r="C286" s="3" t="s">
        <v>433</v>
      </c>
      <c r="D286" s="4">
        <v>1</v>
      </c>
      <c r="E286" s="5">
        <v>42222</v>
      </c>
      <c r="F286" s="6">
        <v>0.7318634259259259</v>
      </c>
      <c r="G286" s="7">
        <v>16</v>
      </c>
      <c r="H286" s="7">
        <f t="shared" si="4"/>
        <v>16</v>
      </c>
      <c r="I286" s="3" t="s">
        <v>14</v>
      </c>
      <c r="J286" s="3" t="s">
        <v>26</v>
      </c>
      <c r="K286" s="3" t="s">
        <v>98</v>
      </c>
      <c r="L286" s="3" t="s">
        <v>99</v>
      </c>
    </row>
    <row r="287" spans="1:12" x14ac:dyDescent="0.35">
      <c r="A287" s="3">
        <v>286</v>
      </c>
      <c r="B287" s="3" t="s">
        <v>24</v>
      </c>
      <c r="C287" s="3" t="s">
        <v>434</v>
      </c>
      <c r="D287" s="4">
        <v>1</v>
      </c>
      <c r="E287" s="5">
        <v>42223</v>
      </c>
      <c r="F287" s="6">
        <v>0.8260185185185186</v>
      </c>
      <c r="G287" s="7">
        <v>18.5</v>
      </c>
      <c r="H287" s="7">
        <f t="shared" si="4"/>
        <v>18.5</v>
      </c>
      <c r="I287" s="3" t="s">
        <v>20</v>
      </c>
      <c r="J287" s="3" t="s">
        <v>26</v>
      </c>
      <c r="K287" s="3" t="s">
        <v>27</v>
      </c>
      <c r="L287" s="3" t="s">
        <v>28</v>
      </c>
    </row>
    <row r="288" spans="1:12" x14ac:dyDescent="0.35">
      <c r="A288" s="3">
        <v>287</v>
      </c>
      <c r="B288" s="3" t="s">
        <v>117</v>
      </c>
      <c r="C288" s="3" t="s">
        <v>435</v>
      </c>
      <c r="D288" s="4">
        <v>1</v>
      </c>
      <c r="E288" s="5">
        <v>42223</v>
      </c>
      <c r="F288" s="6">
        <v>0.87600694444444438</v>
      </c>
      <c r="G288" s="7">
        <v>16</v>
      </c>
      <c r="H288" s="7">
        <f t="shared" si="4"/>
        <v>16</v>
      </c>
      <c r="I288" s="3" t="s">
        <v>14</v>
      </c>
      <c r="J288" s="3" t="s">
        <v>26</v>
      </c>
      <c r="K288" s="3" t="s">
        <v>56</v>
      </c>
      <c r="L288" s="3" t="s">
        <v>57</v>
      </c>
    </row>
    <row r="289" spans="1:12" x14ac:dyDescent="0.35">
      <c r="A289" s="3">
        <v>288</v>
      </c>
      <c r="B289" s="3" t="s">
        <v>238</v>
      </c>
      <c r="C289" s="3" t="s">
        <v>436</v>
      </c>
      <c r="D289" s="4">
        <v>1</v>
      </c>
      <c r="E289" s="5">
        <v>42224</v>
      </c>
      <c r="F289" s="6">
        <v>0.68082175925925925</v>
      </c>
      <c r="G289" s="7">
        <v>20.25</v>
      </c>
      <c r="H289" s="7">
        <f t="shared" si="4"/>
        <v>20.25</v>
      </c>
      <c r="I289" s="3" t="s">
        <v>20</v>
      </c>
      <c r="J289" s="3" t="s">
        <v>26</v>
      </c>
      <c r="K289" s="3" t="s">
        <v>56</v>
      </c>
      <c r="L289" s="3" t="s">
        <v>57</v>
      </c>
    </row>
    <row r="290" spans="1:12" x14ac:dyDescent="0.35">
      <c r="A290" s="3">
        <v>289</v>
      </c>
      <c r="B290" s="3" t="s">
        <v>264</v>
      </c>
      <c r="C290" s="3" t="s">
        <v>437</v>
      </c>
      <c r="D290" s="4">
        <v>1</v>
      </c>
      <c r="E290" s="5">
        <v>42224</v>
      </c>
      <c r="F290" s="6">
        <v>0.84280092592592604</v>
      </c>
      <c r="G290" s="7">
        <v>12</v>
      </c>
      <c r="H290" s="7">
        <f t="shared" si="4"/>
        <v>12</v>
      </c>
      <c r="I290" s="3" t="s">
        <v>45</v>
      </c>
      <c r="J290" s="3" t="s">
        <v>26</v>
      </c>
      <c r="K290" s="3" t="s">
        <v>266</v>
      </c>
      <c r="L290" s="3" t="s">
        <v>267</v>
      </c>
    </row>
    <row r="291" spans="1:12" x14ac:dyDescent="0.35">
      <c r="A291" s="3">
        <v>290</v>
      </c>
      <c r="B291" s="3" t="s">
        <v>201</v>
      </c>
      <c r="C291" s="3" t="s">
        <v>438</v>
      </c>
      <c r="D291" s="4">
        <v>1</v>
      </c>
      <c r="E291" s="5">
        <v>42224</v>
      </c>
      <c r="F291" s="6">
        <v>0.93746527777777777</v>
      </c>
      <c r="G291" s="7">
        <v>16.5</v>
      </c>
      <c r="H291" s="7">
        <f t="shared" si="4"/>
        <v>16.5</v>
      </c>
      <c r="I291" s="3" t="s">
        <v>14</v>
      </c>
      <c r="J291" s="3" t="s">
        <v>31</v>
      </c>
      <c r="K291" s="3" t="s">
        <v>50</v>
      </c>
      <c r="L291" s="3" t="s">
        <v>51</v>
      </c>
    </row>
    <row r="292" spans="1:12" x14ac:dyDescent="0.35">
      <c r="A292" s="3">
        <v>291</v>
      </c>
      <c r="B292" s="3" t="s">
        <v>439</v>
      </c>
      <c r="C292" s="3" t="s">
        <v>440</v>
      </c>
      <c r="D292" s="4">
        <v>1</v>
      </c>
      <c r="E292" s="5">
        <v>42225</v>
      </c>
      <c r="F292" s="6">
        <v>0.59180555555555558</v>
      </c>
      <c r="G292" s="7">
        <v>12</v>
      </c>
      <c r="H292" s="7">
        <f t="shared" si="4"/>
        <v>12</v>
      </c>
      <c r="I292" s="3" t="s">
        <v>45</v>
      </c>
      <c r="J292" s="3" t="s">
        <v>15</v>
      </c>
      <c r="K292" s="3" t="s">
        <v>180</v>
      </c>
      <c r="L292" s="3" t="s">
        <v>181</v>
      </c>
    </row>
    <row r="293" spans="1:12" x14ac:dyDescent="0.35">
      <c r="A293" s="3">
        <v>292</v>
      </c>
      <c r="B293" s="3" t="s">
        <v>234</v>
      </c>
      <c r="C293" s="3" t="s">
        <v>441</v>
      </c>
      <c r="D293" s="4">
        <v>1</v>
      </c>
      <c r="E293" s="5">
        <v>42225</v>
      </c>
      <c r="F293" s="6">
        <v>0.77194444444444443</v>
      </c>
      <c r="G293" s="7">
        <v>16</v>
      </c>
      <c r="H293" s="7">
        <f t="shared" si="4"/>
        <v>16</v>
      </c>
      <c r="I293" s="3" t="s">
        <v>14</v>
      </c>
      <c r="J293" s="3" t="s">
        <v>26</v>
      </c>
      <c r="K293" s="3" t="s">
        <v>197</v>
      </c>
      <c r="L293" s="3" t="s">
        <v>198</v>
      </c>
    </row>
    <row r="294" spans="1:12" x14ac:dyDescent="0.35">
      <c r="A294" s="3">
        <v>293</v>
      </c>
      <c r="B294" s="3" t="s">
        <v>191</v>
      </c>
      <c r="C294" s="3" t="s">
        <v>442</v>
      </c>
      <c r="D294" s="4">
        <v>1</v>
      </c>
      <c r="E294" s="5">
        <v>42226</v>
      </c>
      <c r="F294" s="6">
        <v>0.52567129629629628</v>
      </c>
      <c r="G294" s="7">
        <v>20.75</v>
      </c>
      <c r="H294" s="7">
        <f t="shared" si="4"/>
        <v>20.75</v>
      </c>
      <c r="I294" s="3" t="s">
        <v>20</v>
      </c>
      <c r="J294" s="3" t="s">
        <v>26</v>
      </c>
      <c r="K294" s="3" t="s">
        <v>166</v>
      </c>
      <c r="L294" s="3" t="s">
        <v>167</v>
      </c>
    </row>
    <row r="295" spans="1:12" x14ac:dyDescent="0.35">
      <c r="A295" s="3">
        <v>294</v>
      </c>
      <c r="B295" s="3" t="s">
        <v>34</v>
      </c>
      <c r="C295" s="3" t="s">
        <v>443</v>
      </c>
      <c r="D295" s="4">
        <v>1</v>
      </c>
      <c r="E295" s="5">
        <v>42226</v>
      </c>
      <c r="F295" s="6">
        <v>0.6746064814814815</v>
      </c>
      <c r="G295" s="7">
        <v>25.5</v>
      </c>
      <c r="H295" s="7">
        <f t="shared" si="4"/>
        <v>25.5</v>
      </c>
      <c r="I295" s="3" t="s">
        <v>36</v>
      </c>
      <c r="J295" s="3" t="s">
        <v>15</v>
      </c>
      <c r="K295" s="3" t="s">
        <v>37</v>
      </c>
      <c r="L295" s="3" t="s">
        <v>38</v>
      </c>
    </row>
    <row r="296" spans="1:12" x14ac:dyDescent="0.35">
      <c r="A296" s="3">
        <v>295</v>
      </c>
      <c r="B296" s="3" t="s">
        <v>187</v>
      </c>
      <c r="C296" s="3" t="s">
        <v>444</v>
      </c>
      <c r="D296" s="4">
        <v>1</v>
      </c>
      <c r="E296" s="5">
        <v>42227</v>
      </c>
      <c r="F296" s="6">
        <v>0.89128472222222221</v>
      </c>
      <c r="G296" s="7">
        <v>13.25</v>
      </c>
      <c r="H296" s="7">
        <f t="shared" si="4"/>
        <v>13.25</v>
      </c>
      <c r="I296" s="3" t="s">
        <v>14</v>
      </c>
      <c r="J296" s="3" t="s">
        <v>15</v>
      </c>
      <c r="K296" s="3" t="s">
        <v>107</v>
      </c>
      <c r="L296" s="3" t="s">
        <v>108</v>
      </c>
    </row>
    <row r="297" spans="1:12" x14ac:dyDescent="0.35">
      <c r="A297" s="3">
        <v>296</v>
      </c>
      <c r="B297" s="3" t="s">
        <v>18</v>
      </c>
      <c r="C297" s="3" t="s">
        <v>445</v>
      </c>
      <c r="D297" s="4">
        <v>1</v>
      </c>
      <c r="E297" s="5">
        <v>42228</v>
      </c>
      <c r="F297" s="6">
        <v>0.89856481481481476</v>
      </c>
      <c r="G297" s="7">
        <v>20.75</v>
      </c>
      <c r="H297" s="7">
        <f t="shared" si="4"/>
        <v>20.75</v>
      </c>
      <c r="I297" s="3" t="s">
        <v>20</v>
      </c>
      <c r="J297" s="3" t="s">
        <v>21</v>
      </c>
      <c r="K297" s="3" t="s">
        <v>22</v>
      </c>
      <c r="L297" s="3" t="s">
        <v>23</v>
      </c>
    </row>
    <row r="298" spans="1:12" x14ac:dyDescent="0.35">
      <c r="A298" s="3">
        <v>297</v>
      </c>
      <c r="B298" s="3" t="s">
        <v>39</v>
      </c>
      <c r="C298" s="3" t="s">
        <v>446</v>
      </c>
      <c r="D298" s="4">
        <v>1</v>
      </c>
      <c r="E298" s="5">
        <v>42229</v>
      </c>
      <c r="F298" s="6">
        <v>0.58884259259259253</v>
      </c>
      <c r="G298" s="7">
        <v>15.25</v>
      </c>
      <c r="H298" s="7">
        <f t="shared" si="4"/>
        <v>15.25</v>
      </c>
      <c r="I298" s="3" t="s">
        <v>20</v>
      </c>
      <c r="J298" s="3" t="s">
        <v>15</v>
      </c>
      <c r="K298" s="3" t="s">
        <v>41</v>
      </c>
      <c r="L298" s="3" t="s">
        <v>42</v>
      </c>
    </row>
    <row r="299" spans="1:12" x14ac:dyDescent="0.35">
      <c r="A299" s="3">
        <v>298</v>
      </c>
      <c r="B299" s="3" t="s">
        <v>12</v>
      </c>
      <c r="C299" s="3" t="s">
        <v>447</v>
      </c>
      <c r="D299" s="4">
        <v>1</v>
      </c>
      <c r="E299" s="5">
        <v>42230</v>
      </c>
      <c r="F299" s="6">
        <v>0.52452546296296299</v>
      </c>
      <c r="G299" s="7">
        <v>16</v>
      </c>
      <c r="H299" s="7">
        <f t="shared" si="4"/>
        <v>16</v>
      </c>
      <c r="I299" s="3" t="s">
        <v>14</v>
      </c>
      <c r="J299" s="3" t="s">
        <v>15</v>
      </c>
      <c r="K299" s="3" t="s">
        <v>16</v>
      </c>
      <c r="L299" s="3" t="s">
        <v>17</v>
      </c>
    </row>
    <row r="300" spans="1:12" x14ac:dyDescent="0.35">
      <c r="A300" s="3">
        <v>299</v>
      </c>
      <c r="B300" s="3" t="s">
        <v>90</v>
      </c>
      <c r="C300" s="3" t="s">
        <v>448</v>
      </c>
      <c r="D300" s="4">
        <v>1</v>
      </c>
      <c r="E300" s="5">
        <v>42230</v>
      </c>
      <c r="F300" s="6">
        <v>0.7012962962962962</v>
      </c>
      <c r="G300" s="7">
        <v>12.75</v>
      </c>
      <c r="H300" s="7">
        <f t="shared" si="4"/>
        <v>12.75</v>
      </c>
      <c r="I300" s="3" t="s">
        <v>45</v>
      </c>
      <c r="J300" s="3" t="s">
        <v>21</v>
      </c>
      <c r="K300" s="3" t="s">
        <v>92</v>
      </c>
      <c r="L300" s="3" t="s">
        <v>93</v>
      </c>
    </row>
    <row r="301" spans="1:12" x14ac:dyDescent="0.35">
      <c r="A301" s="3">
        <v>300</v>
      </c>
      <c r="B301" s="3" t="s">
        <v>43</v>
      </c>
      <c r="C301" s="3" t="s">
        <v>449</v>
      </c>
      <c r="D301" s="4">
        <v>1</v>
      </c>
      <c r="E301" s="5">
        <v>42231</v>
      </c>
      <c r="F301" s="6">
        <v>0.84638888888888886</v>
      </c>
      <c r="G301" s="7">
        <v>12.5</v>
      </c>
      <c r="H301" s="7">
        <f t="shared" si="4"/>
        <v>12.5</v>
      </c>
      <c r="I301" s="3" t="s">
        <v>45</v>
      </c>
      <c r="J301" s="3" t="s">
        <v>31</v>
      </c>
      <c r="K301" s="3" t="s">
        <v>46</v>
      </c>
      <c r="L301" s="3" t="s">
        <v>47</v>
      </c>
    </row>
    <row r="302" spans="1:12" x14ac:dyDescent="0.35">
      <c r="A302" s="3">
        <v>301</v>
      </c>
      <c r="B302" s="3" t="s">
        <v>298</v>
      </c>
      <c r="C302" s="3" t="s">
        <v>450</v>
      </c>
      <c r="D302" s="4">
        <v>1</v>
      </c>
      <c r="E302" s="5">
        <v>42232</v>
      </c>
      <c r="F302" s="6">
        <v>0.69760416666666669</v>
      </c>
      <c r="G302" s="7">
        <v>16</v>
      </c>
      <c r="H302" s="7">
        <f t="shared" si="4"/>
        <v>16</v>
      </c>
      <c r="I302" s="3" t="s">
        <v>14</v>
      </c>
      <c r="J302" s="3" t="s">
        <v>26</v>
      </c>
      <c r="K302" s="3" t="s">
        <v>98</v>
      </c>
      <c r="L302" s="3" t="s">
        <v>99</v>
      </c>
    </row>
    <row r="303" spans="1:12" x14ac:dyDescent="0.35">
      <c r="A303" s="3">
        <v>302</v>
      </c>
      <c r="B303" s="3" t="s">
        <v>256</v>
      </c>
      <c r="C303" s="3" t="s">
        <v>451</v>
      </c>
      <c r="D303" s="4">
        <v>1</v>
      </c>
      <c r="E303" s="5">
        <v>42232</v>
      </c>
      <c r="F303" s="6">
        <v>0.71861111111111109</v>
      </c>
      <c r="G303" s="7">
        <v>16.75</v>
      </c>
      <c r="H303" s="7">
        <f t="shared" si="4"/>
        <v>16.75</v>
      </c>
      <c r="I303" s="3" t="s">
        <v>14</v>
      </c>
      <c r="J303" s="3" t="s">
        <v>21</v>
      </c>
      <c r="K303" s="3" t="s">
        <v>22</v>
      </c>
      <c r="L303" s="3" t="s">
        <v>23</v>
      </c>
    </row>
    <row r="304" spans="1:12" x14ac:dyDescent="0.35">
      <c r="A304" s="3">
        <v>303</v>
      </c>
      <c r="B304" s="3" t="s">
        <v>74</v>
      </c>
      <c r="C304" s="3" t="s">
        <v>452</v>
      </c>
      <c r="D304" s="4">
        <v>1</v>
      </c>
      <c r="E304" s="5">
        <v>42233</v>
      </c>
      <c r="F304" s="6">
        <v>0.61293981481481474</v>
      </c>
      <c r="G304" s="7">
        <v>12.25</v>
      </c>
      <c r="H304" s="7">
        <f t="shared" si="4"/>
        <v>12.25</v>
      </c>
      <c r="I304" s="3" t="s">
        <v>45</v>
      </c>
      <c r="J304" s="3" t="s">
        <v>31</v>
      </c>
      <c r="K304" s="3" t="s">
        <v>76</v>
      </c>
      <c r="L304" s="3" t="s">
        <v>77</v>
      </c>
    </row>
    <row r="305" spans="1:12" x14ac:dyDescent="0.35">
      <c r="A305" s="3">
        <v>304</v>
      </c>
      <c r="B305" s="3" t="s">
        <v>292</v>
      </c>
      <c r="C305" s="3" t="s">
        <v>453</v>
      </c>
      <c r="D305" s="4">
        <v>1</v>
      </c>
      <c r="E305" s="5">
        <v>42233</v>
      </c>
      <c r="F305" s="6">
        <v>0.65770833333333334</v>
      </c>
      <c r="G305" s="7">
        <v>12.75</v>
      </c>
      <c r="H305" s="7">
        <f t="shared" si="4"/>
        <v>12.75</v>
      </c>
      <c r="I305" s="3" t="s">
        <v>45</v>
      </c>
      <c r="J305" s="3" t="s">
        <v>21</v>
      </c>
      <c r="K305" s="3" t="s">
        <v>22</v>
      </c>
      <c r="L305" s="3" t="s">
        <v>23</v>
      </c>
    </row>
    <row r="306" spans="1:12" x14ac:dyDescent="0.35">
      <c r="A306" s="3">
        <v>305</v>
      </c>
      <c r="B306" s="3" t="s">
        <v>117</v>
      </c>
      <c r="C306" s="3" t="s">
        <v>454</v>
      </c>
      <c r="D306" s="4">
        <v>1</v>
      </c>
      <c r="E306" s="5">
        <v>42233</v>
      </c>
      <c r="F306" s="6">
        <v>0.69740740740740748</v>
      </c>
      <c r="G306" s="7">
        <v>16</v>
      </c>
      <c r="H306" s="7">
        <f t="shared" si="4"/>
        <v>16</v>
      </c>
      <c r="I306" s="3" t="s">
        <v>14</v>
      </c>
      <c r="J306" s="3" t="s">
        <v>26</v>
      </c>
      <c r="K306" s="3" t="s">
        <v>56</v>
      </c>
      <c r="L306" s="3" t="s">
        <v>57</v>
      </c>
    </row>
    <row r="307" spans="1:12" x14ac:dyDescent="0.35">
      <c r="A307" s="3">
        <v>306</v>
      </c>
      <c r="B307" s="3" t="s">
        <v>124</v>
      </c>
      <c r="C307" s="3" t="s">
        <v>455</v>
      </c>
      <c r="D307" s="4">
        <v>1</v>
      </c>
      <c r="E307" s="5">
        <v>42233</v>
      </c>
      <c r="F307" s="6">
        <v>0.84600694444444446</v>
      </c>
      <c r="G307" s="7">
        <v>12.5</v>
      </c>
      <c r="H307" s="7">
        <f t="shared" si="4"/>
        <v>12.5</v>
      </c>
      <c r="I307" s="3" t="s">
        <v>45</v>
      </c>
      <c r="J307" s="3" t="s">
        <v>31</v>
      </c>
      <c r="K307" s="3" t="s">
        <v>88</v>
      </c>
      <c r="L307" s="3" t="s">
        <v>89</v>
      </c>
    </row>
    <row r="308" spans="1:12" x14ac:dyDescent="0.35">
      <c r="A308" s="3">
        <v>307</v>
      </c>
      <c r="B308" s="3" t="s">
        <v>153</v>
      </c>
      <c r="C308" s="3" t="s">
        <v>456</v>
      </c>
      <c r="D308" s="4">
        <v>1</v>
      </c>
      <c r="E308" s="5">
        <v>42236</v>
      </c>
      <c r="F308" s="6">
        <v>0.70923611111111118</v>
      </c>
      <c r="G308" s="7">
        <v>16.25</v>
      </c>
      <c r="H308" s="7">
        <f t="shared" si="4"/>
        <v>16.25</v>
      </c>
      <c r="I308" s="3" t="s">
        <v>14</v>
      </c>
      <c r="J308" s="3" t="s">
        <v>31</v>
      </c>
      <c r="K308" s="3" t="s">
        <v>76</v>
      </c>
      <c r="L308" s="3" t="s">
        <v>77</v>
      </c>
    </row>
    <row r="309" spans="1:12" x14ac:dyDescent="0.35">
      <c r="A309" s="3">
        <v>308</v>
      </c>
      <c r="B309" s="3" t="s">
        <v>175</v>
      </c>
      <c r="C309" s="3" t="s">
        <v>457</v>
      </c>
      <c r="D309" s="4">
        <v>1</v>
      </c>
      <c r="E309" s="5">
        <v>42237</v>
      </c>
      <c r="F309" s="6">
        <v>0.51209490740740737</v>
      </c>
      <c r="G309" s="7">
        <v>12</v>
      </c>
      <c r="H309" s="7">
        <f t="shared" si="4"/>
        <v>12</v>
      </c>
      <c r="I309" s="3" t="s">
        <v>45</v>
      </c>
      <c r="J309" s="3" t="s">
        <v>15</v>
      </c>
      <c r="K309" s="3" t="s">
        <v>16</v>
      </c>
      <c r="L309" s="3" t="s">
        <v>17</v>
      </c>
    </row>
    <row r="310" spans="1:12" x14ac:dyDescent="0.35">
      <c r="A310" s="3">
        <v>309</v>
      </c>
      <c r="B310" s="3" t="s">
        <v>170</v>
      </c>
      <c r="C310" s="3" t="s">
        <v>216</v>
      </c>
      <c r="D310" s="4">
        <v>1</v>
      </c>
      <c r="E310" s="5">
        <v>42237</v>
      </c>
      <c r="F310" s="6">
        <v>0.7265625</v>
      </c>
      <c r="G310" s="7">
        <v>12</v>
      </c>
      <c r="H310" s="7">
        <f t="shared" si="4"/>
        <v>12</v>
      </c>
      <c r="I310" s="3" t="s">
        <v>45</v>
      </c>
      <c r="J310" s="3" t="s">
        <v>15</v>
      </c>
      <c r="K310" s="3" t="s">
        <v>172</v>
      </c>
      <c r="L310" s="3" t="s">
        <v>173</v>
      </c>
    </row>
    <row r="311" spans="1:12" x14ac:dyDescent="0.35">
      <c r="A311" s="3">
        <v>310</v>
      </c>
      <c r="B311" s="3" t="s">
        <v>178</v>
      </c>
      <c r="C311" s="3" t="s">
        <v>458</v>
      </c>
      <c r="D311" s="4">
        <v>1</v>
      </c>
      <c r="E311" s="5">
        <v>42237</v>
      </c>
      <c r="F311" s="6">
        <v>0.84789351851851846</v>
      </c>
      <c r="G311" s="7">
        <v>20.5</v>
      </c>
      <c r="H311" s="7">
        <f t="shared" si="4"/>
        <v>20.5</v>
      </c>
      <c r="I311" s="3" t="s">
        <v>20</v>
      </c>
      <c r="J311" s="3" t="s">
        <v>15</v>
      </c>
      <c r="K311" s="3" t="s">
        <v>180</v>
      </c>
      <c r="L311" s="3" t="s">
        <v>181</v>
      </c>
    </row>
    <row r="312" spans="1:12" x14ac:dyDescent="0.35">
      <c r="A312" s="3">
        <v>311</v>
      </c>
      <c r="B312" s="3" t="s">
        <v>296</v>
      </c>
      <c r="C312" s="3" t="s">
        <v>459</v>
      </c>
      <c r="D312" s="4">
        <v>1</v>
      </c>
      <c r="E312" s="5">
        <v>42238</v>
      </c>
      <c r="F312" s="6">
        <v>0.68478009259259265</v>
      </c>
      <c r="G312" s="7">
        <v>16.5</v>
      </c>
      <c r="H312" s="7">
        <f t="shared" si="4"/>
        <v>16.5</v>
      </c>
      <c r="I312" s="3" t="s">
        <v>14</v>
      </c>
      <c r="J312" s="3" t="s">
        <v>31</v>
      </c>
      <c r="K312" s="3" t="s">
        <v>32</v>
      </c>
      <c r="L312" s="3" t="s">
        <v>33</v>
      </c>
    </row>
    <row r="313" spans="1:12" x14ac:dyDescent="0.35">
      <c r="A313" s="3">
        <v>312</v>
      </c>
      <c r="B313" s="3" t="s">
        <v>162</v>
      </c>
      <c r="C313" s="3" t="s">
        <v>460</v>
      </c>
      <c r="D313" s="4">
        <v>1</v>
      </c>
      <c r="E313" s="5">
        <v>42238</v>
      </c>
      <c r="F313" s="6">
        <v>0.72945601851851849</v>
      </c>
      <c r="G313" s="7">
        <v>20.75</v>
      </c>
      <c r="H313" s="7">
        <f t="shared" si="4"/>
        <v>20.75</v>
      </c>
      <c r="I313" s="3" t="s">
        <v>20</v>
      </c>
      <c r="J313" s="3" t="s">
        <v>21</v>
      </c>
      <c r="K313" s="3" t="s">
        <v>92</v>
      </c>
      <c r="L313" s="3" t="s">
        <v>93</v>
      </c>
    </row>
    <row r="314" spans="1:12" x14ac:dyDescent="0.35">
      <c r="A314" s="3">
        <v>313</v>
      </c>
      <c r="B314" s="3" t="s">
        <v>12</v>
      </c>
      <c r="C314" s="3" t="s">
        <v>461</v>
      </c>
      <c r="D314" s="4">
        <v>1</v>
      </c>
      <c r="E314" s="5">
        <v>42238</v>
      </c>
      <c r="F314" s="6">
        <v>0.92962962962962958</v>
      </c>
      <c r="G314" s="7">
        <v>16</v>
      </c>
      <c r="H314" s="7">
        <f t="shared" si="4"/>
        <v>16</v>
      </c>
      <c r="I314" s="3" t="s">
        <v>14</v>
      </c>
      <c r="J314" s="3" t="s">
        <v>15</v>
      </c>
      <c r="K314" s="3" t="s">
        <v>16</v>
      </c>
      <c r="L314" s="3" t="s">
        <v>17</v>
      </c>
    </row>
    <row r="315" spans="1:12" x14ac:dyDescent="0.35">
      <c r="A315" s="3">
        <v>314</v>
      </c>
      <c r="B315" s="3" t="s">
        <v>39</v>
      </c>
      <c r="C315" s="3" t="s">
        <v>462</v>
      </c>
      <c r="D315" s="4">
        <v>1</v>
      </c>
      <c r="E315" s="5">
        <v>42239</v>
      </c>
      <c r="F315" s="6">
        <v>0.48472222222222222</v>
      </c>
      <c r="G315" s="7">
        <v>15.25</v>
      </c>
      <c r="H315" s="7">
        <f t="shared" si="4"/>
        <v>15.25</v>
      </c>
      <c r="I315" s="3" t="s">
        <v>20</v>
      </c>
      <c r="J315" s="3" t="s">
        <v>15</v>
      </c>
      <c r="K315" s="3" t="s">
        <v>41</v>
      </c>
      <c r="L315" s="3" t="s">
        <v>42</v>
      </c>
    </row>
    <row r="316" spans="1:12" x14ac:dyDescent="0.35">
      <c r="A316" s="3">
        <v>315</v>
      </c>
      <c r="B316" s="3" t="s">
        <v>187</v>
      </c>
      <c r="C316" s="3" t="s">
        <v>406</v>
      </c>
      <c r="D316" s="4">
        <v>1</v>
      </c>
      <c r="E316" s="5">
        <v>42239</v>
      </c>
      <c r="F316" s="6">
        <v>0.63249999999999995</v>
      </c>
      <c r="G316" s="7">
        <v>13.25</v>
      </c>
      <c r="H316" s="7">
        <f t="shared" si="4"/>
        <v>13.25</v>
      </c>
      <c r="I316" s="3" t="s">
        <v>14</v>
      </c>
      <c r="J316" s="3" t="s">
        <v>15</v>
      </c>
      <c r="K316" s="3" t="s">
        <v>107</v>
      </c>
      <c r="L316" s="3" t="s">
        <v>108</v>
      </c>
    </row>
    <row r="317" spans="1:12" x14ac:dyDescent="0.35">
      <c r="A317" s="3">
        <v>316</v>
      </c>
      <c r="B317" s="3" t="s">
        <v>48</v>
      </c>
      <c r="C317" s="3" t="s">
        <v>463</v>
      </c>
      <c r="D317" s="4">
        <v>1</v>
      </c>
      <c r="E317" s="5">
        <v>42239</v>
      </c>
      <c r="F317" s="6">
        <v>0.7926157407407407</v>
      </c>
      <c r="G317" s="7">
        <v>20.75</v>
      </c>
      <c r="H317" s="7">
        <f t="shared" si="4"/>
        <v>20.75</v>
      </c>
      <c r="I317" s="3" t="s">
        <v>20</v>
      </c>
      <c r="J317" s="3" t="s">
        <v>31</v>
      </c>
      <c r="K317" s="3" t="s">
        <v>50</v>
      </c>
      <c r="L317" s="3" t="s">
        <v>51</v>
      </c>
    </row>
    <row r="318" spans="1:12" x14ac:dyDescent="0.35">
      <c r="A318" s="3">
        <v>317</v>
      </c>
      <c r="B318" s="3" t="s">
        <v>307</v>
      </c>
      <c r="C318" s="3" t="s">
        <v>464</v>
      </c>
      <c r="D318" s="4">
        <v>1</v>
      </c>
      <c r="E318" s="5">
        <v>42241</v>
      </c>
      <c r="F318" s="6">
        <v>0.53746527777777775</v>
      </c>
      <c r="G318" s="7">
        <v>20.25</v>
      </c>
      <c r="H318" s="7">
        <f t="shared" si="4"/>
        <v>20.25</v>
      </c>
      <c r="I318" s="3" t="s">
        <v>20</v>
      </c>
      <c r="J318" s="3" t="s">
        <v>26</v>
      </c>
      <c r="K318" s="3" t="s">
        <v>266</v>
      </c>
      <c r="L318" s="3" t="s">
        <v>267</v>
      </c>
    </row>
    <row r="319" spans="1:12" x14ac:dyDescent="0.35">
      <c r="A319" s="3">
        <v>318</v>
      </c>
      <c r="B319" s="3" t="s">
        <v>270</v>
      </c>
      <c r="C319" s="3" t="s">
        <v>465</v>
      </c>
      <c r="D319" s="4">
        <v>1</v>
      </c>
      <c r="E319" s="5">
        <v>42241</v>
      </c>
      <c r="F319" s="6">
        <v>0.72856481481481483</v>
      </c>
      <c r="G319" s="7">
        <v>12.5</v>
      </c>
      <c r="H319" s="7">
        <f t="shared" si="4"/>
        <v>12.5</v>
      </c>
      <c r="I319" s="3" t="s">
        <v>14</v>
      </c>
      <c r="J319" s="3" t="s">
        <v>15</v>
      </c>
      <c r="K319" s="3" t="s">
        <v>41</v>
      </c>
      <c r="L319" s="3" t="s">
        <v>42</v>
      </c>
    </row>
    <row r="320" spans="1:12" x14ac:dyDescent="0.35">
      <c r="A320" s="3">
        <v>319</v>
      </c>
      <c r="B320" s="3" t="s">
        <v>96</v>
      </c>
      <c r="C320" s="3" t="s">
        <v>466</v>
      </c>
      <c r="D320" s="4">
        <v>2</v>
      </c>
      <c r="E320" s="5">
        <v>42243</v>
      </c>
      <c r="F320" s="6">
        <v>0.53350694444444446</v>
      </c>
      <c r="G320" s="7">
        <v>20.25</v>
      </c>
      <c r="H320" s="7">
        <f t="shared" si="4"/>
        <v>40.5</v>
      </c>
      <c r="I320" s="3" t="s">
        <v>20</v>
      </c>
      <c r="J320" s="3" t="s">
        <v>26</v>
      </c>
      <c r="K320" s="3" t="s">
        <v>98</v>
      </c>
      <c r="L320" s="3" t="s">
        <v>99</v>
      </c>
    </row>
    <row r="321" spans="1:12" x14ac:dyDescent="0.35">
      <c r="A321" s="3">
        <v>320</v>
      </c>
      <c r="B321" s="3" t="s">
        <v>124</v>
      </c>
      <c r="C321" s="3" t="s">
        <v>467</v>
      </c>
      <c r="D321" s="4">
        <v>1</v>
      </c>
      <c r="E321" s="5">
        <v>42243</v>
      </c>
      <c r="F321" s="6">
        <v>0.72378472222222223</v>
      </c>
      <c r="G321" s="7">
        <v>12.5</v>
      </c>
      <c r="H321" s="7">
        <f t="shared" si="4"/>
        <v>12.5</v>
      </c>
      <c r="I321" s="3" t="s">
        <v>45</v>
      </c>
      <c r="J321" s="3" t="s">
        <v>31</v>
      </c>
      <c r="K321" s="3" t="s">
        <v>88</v>
      </c>
      <c r="L321" s="3" t="s">
        <v>89</v>
      </c>
    </row>
    <row r="322" spans="1:12" x14ac:dyDescent="0.35">
      <c r="A322" s="3">
        <v>321</v>
      </c>
      <c r="B322" s="3" t="s">
        <v>84</v>
      </c>
      <c r="C322" s="3" t="s">
        <v>444</v>
      </c>
      <c r="D322" s="4">
        <v>1</v>
      </c>
      <c r="E322" s="5">
        <v>42244</v>
      </c>
      <c r="F322" s="6">
        <v>0.81170138888888888</v>
      </c>
      <c r="G322" s="7">
        <v>20.25</v>
      </c>
      <c r="H322" s="7">
        <f t="shared" si="4"/>
        <v>20.25</v>
      </c>
      <c r="I322" s="3" t="s">
        <v>20</v>
      </c>
      <c r="J322" s="3" t="s">
        <v>31</v>
      </c>
      <c r="K322" s="3" t="s">
        <v>76</v>
      </c>
      <c r="L322" s="3" t="s">
        <v>77</v>
      </c>
    </row>
    <row r="323" spans="1:12" x14ac:dyDescent="0.35">
      <c r="A323" s="3">
        <v>322</v>
      </c>
      <c r="B323" s="3" t="s">
        <v>101</v>
      </c>
      <c r="C323" s="3" t="s">
        <v>468</v>
      </c>
      <c r="D323" s="4">
        <v>1</v>
      </c>
      <c r="E323" s="5">
        <v>42244</v>
      </c>
      <c r="F323" s="6">
        <v>0.92533564814814817</v>
      </c>
      <c r="G323" s="7">
        <v>20.75</v>
      </c>
      <c r="H323" s="7">
        <f t="shared" ref="H323:H386" si="5">G323*D323</f>
        <v>20.75</v>
      </c>
      <c r="I323" s="3" t="s">
        <v>20</v>
      </c>
      <c r="J323" s="3" t="s">
        <v>21</v>
      </c>
      <c r="K323" s="3" t="s">
        <v>103</v>
      </c>
      <c r="L323" s="3" t="s">
        <v>104</v>
      </c>
    </row>
    <row r="324" spans="1:12" x14ac:dyDescent="0.35">
      <c r="A324" s="3">
        <v>323</v>
      </c>
      <c r="B324" s="3" t="s">
        <v>34</v>
      </c>
      <c r="C324" s="3" t="s">
        <v>346</v>
      </c>
      <c r="D324" s="4">
        <v>1</v>
      </c>
      <c r="E324" s="5">
        <v>42244</v>
      </c>
      <c r="F324" s="6">
        <v>0.96173611111111112</v>
      </c>
      <c r="G324" s="7">
        <v>25.5</v>
      </c>
      <c r="H324" s="7">
        <f t="shared" si="5"/>
        <v>25.5</v>
      </c>
      <c r="I324" s="3" t="s">
        <v>36</v>
      </c>
      <c r="J324" s="3" t="s">
        <v>15</v>
      </c>
      <c r="K324" s="3" t="s">
        <v>37</v>
      </c>
      <c r="L324" s="3" t="s">
        <v>38</v>
      </c>
    </row>
    <row r="325" spans="1:12" x14ac:dyDescent="0.35">
      <c r="A325" s="3">
        <v>324</v>
      </c>
      <c r="B325" s="3" t="s">
        <v>90</v>
      </c>
      <c r="C325" s="3" t="s">
        <v>469</v>
      </c>
      <c r="D325" s="4">
        <v>1</v>
      </c>
      <c r="E325" s="5">
        <v>42246</v>
      </c>
      <c r="F325" s="6">
        <v>0.49037037037037035</v>
      </c>
      <c r="G325" s="7">
        <v>12.75</v>
      </c>
      <c r="H325" s="7">
        <f t="shared" si="5"/>
        <v>12.75</v>
      </c>
      <c r="I325" s="3" t="s">
        <v>45</v>
      </c>
      <c r="J325" s="3" t="s">
        <v>21</v>
      </c>
      <c r="K325" s="3" t="s">
        <v>92</v>
      </c>
      <c r="L325" s="3" t="s">
        <v>93</v>
      </c>
    </row>
    <row r="326" spans="1:12" x14ac:dyDescent="0.35">
      <c r="A326" s="3">
        <v>325</v>
      </c>
      <c r="B326" s="3" t="s">
        <v>126</v>
      </c>
      <c r="C326" s="3" t="s">
        <v>470</v>
      </c>
      <c r="D326" s="4">
        <v>1</v>
      </c>
      <c r="E326" s="5">
        <v>42246</v>
      </c>
      <c r="F326" s="6">
        <v>0.61008101851851848</v>
      </c>
      <c r="G326" s="7">
        <v>10.5</v>
      </c>
      <c r="H326" s="7">
        <f t="shared" si="5"/>
        <v>10.5</v>
      </c>
      <c r="I326" s="3" t="s">
        <v>45</v>
      </c>
      <c r="J326" s="3" t="s">
        <v>15</v>
      </c>
      <c r="K326" s="3" t="s">
        <v>107</v>
      </c>
      <c r="L326" s="3" t="s">
        <v>108</v>
      </c>
    </row>
    <row r="327" spans="1:12" x14ac:dyDescent="0.35">
      <c r="A327" s="3">
        <v>326</v>
      </c>
      <c r="B327" s="3" t="s">
        <v>471</v>
      </c>
      <c r="C327" s="3" t="s">
        <v>472</v>
      </c>
      <c r="D327" s="4">
        <v>1</v>
      </c>
      <c r="E327" s="5">
        <v>42246</v>
      </c>
      <c r="F327" s="6">
        <v>0.76853009259259253</v>
      </c>
      <c r="G327" s="7">
        <v>12.5</v>
      </c>
      <c r="H327" s="7">
        <f t="shared" si="5"/>
        <v>12.5</v>
      </c>
      <c r="I327" s="3" t="s">
        <v>45</v>
      </c>
      <c r="J327" s="3" t="s">
        <v>31</v>
      </c>
      <c r="K327" s="3" t="s">
        <v>328</v>
      </c>
      <c r="L327" s="3" t="s">
        <v>329</v>
      </c>
    </row>
    <row r="328" spans="1:12" x14ac:dyDescent="0.35">
      <c r="A328" s="3">
        <v>327</v>
      </c>
      <c r="B328" s="3" t="s">
        <v>52</v>
      </c>
      <c r="C328" s="3" t="s">
        <v>473</v>
      </c>
      <c r="D328" s="4">
        <v>1</v>
      </c>
      <c r="E328" s="5">
        <v>42246</v>
      </c>
      <c r="F328" s="6">
        <v>0.83248842592592587</v>
      </c>
      <c r="G328" s="7">
        <v>12.5</v>
      </c>
      <c r="H328" s="7">
        <f t="shared" si="5"/>
        <v>12.5</v>
      </c>
      <c r="I328" s="3" t="s">
        <v>45</v>
      </c>
      <c r="J328" s="3" t="s">
        <v>31</v>
      </c>
      <c r="K328" s="3" t="s">
        <v>32</v>
      </c>
      <c r="L328" s="3" t="s">
        <v>33</v>
      </c>
    </row>
    <row r="329" spans="1:12" x14ac:dyDescent="0.35">
      <c r="A329" s="3">
        <v>328</v>
      </c>
      <c r="B329" s="3" t="s">
        <v>407</v>
      </c>
      <c r="C329" s="3" t="s">
        <v>474</v>
      </c>
      <c r="D329" s="4">
        <v>2</v>
      </c>
      <c r="E329" s="5">
        <v>42247</v>
      </c>
      <c r="F329" s="6">
        <v>0.5499074074074074</v>
      </c>
      <c r="G329" s="7">
        <v>14.75</v>
      </c>
      <c r="H329" s="7">
        <f t="shared" si="5"/>
        <v>29.5</v>
      </c>
      <c r="I329" s="3" t="s">
        <v>14</v>
      </c>
      <c r="J329" s="3" t="s">
        <v>26</v>
      </c>
      <c r="K329" s="3" t="s">
        <v>60</v>
      </c>
      <c r="L329" s="3" t="s">
        <v>61</v>
      </c>
    </row>
    <row r="330" spans="1:12" x14ac:dyDescent="0.35">
      <c r="A330" s="3">
        <v>329</v>
      </c>
      <c r="B330" s="3" t="s">
        <v>105</v>
      </c>
      <c r="C330" s="3" t="s">
        <v>475</v>
      </c>
      <c r="D330" s="4">
        <v>1</v>
      </c>
      <c r="E330" s="5">
        <v>42248</v>
      </c>
      <c r="F330" s="6">
        <v>0.52222222222222225</v>
      </c>
      <c r="G330" s="7">
        <v>16.5</v>
      </c>
      <c r="H330" s="7">
        <f t="shared" si="5"/>
        <v>16.5</v>
      </c>
      <c r="I330" s="3" t="s">
        <v>20</v>
      </c>
      <c r="J330" s="3" t="s">
        <v>15</v>
      </c>
      <c r="K330" s="3" t="s">
        <v>107</v>
      </c>
      <c r="L330" s="3" t="s">
        <v>108</v>
      </c>
    </row>
    <row r="331" spans="1:12" x14ac:dyDescent="0.35">
      <c r="A331" s="3">
        <v>330</v>
      </c>
      <c r="B331" s="3" t="s">
        <v>476</v>
      </c>
      <c r="C331" s="3" t="s">
        <v>477</v>
      </c>
      <c r="D331" s="4">
        <v>1</v>
      </c>
      <c r="E331" s="5">
        <v>42248</v>
      </c>
      <c r="F331" s="6">
        <v>0.53137731481481476</v>
      </c>
      <c r="G331" s="7">
        <v>12.75</v>
      </c>
      <c r="H331" s="7">
        <f t="shared" si="5"/>
        <v>12.75</v>
      </c>
      <c r="I331" s="3" t="s">
        <v>45</v>
      </c>
      <c r="J331" s="3" t="s">
        <v>26</v>
      </c>
      <c r="K331" s="3" t="s">
        <v>72</v>
      </c>
      <c r="L331" s="3" t="s">
        <v>73</v>
      </c>
    </row>
    <row r="332" spans="1:12" x14ac:dyDescent="0.35">
      <c r="A332" s="3">
        <v>331</v>
      </c>
      <c r="B332" s="3" t="s">
        <v>39</v>
      </c>
      <c r="C332" s="3" t="s">
        <v>478</v>
      </c>
      <c r="D332" s="4">
        <v>1</v>
      </c>
      <c r="E332" s="5">
        <v>42248</v>
      </c>
      <c r="F332" s="6">
        <v>0.67652777777777784</v>
      </c>
      <c r="G332" s="7">
        <v>15.25</v>
      </c>
      <c r="H332" s="7">
        <f t="shared" si="5"/>
        <v>15.25</v>
      </c>
      <c r="I332" s="3" t="s">
        <v>20</v>
      </c>
      <c r="J332" s="3" t="s">
        <v>15</v>
      </c>
      <c r="K332" s="3" t="s">
        <v>41</v>
      </c>
      <c r="L332" s="3" t="s">
        <v>42</v>
      </c>
    </row>
    <row r="333" spans="1:12" x14ac:dyDescent="0.35">
      <c r="A333" s="3">
        <v>332</v>
      </c>
      <c r="B333" s="3" t="s">
        <v>43</v>
      </c>
      <c r="C333" s="3" t="s">
        <v>479</v>
      </c>
      <c r="D333" s="4">
        <v>1</v>
      </c>
      <c r="E333" s="5">
        <v>42250</v>
      </c>
      <c r="F333" s="6">
        <v>0.78841435185185194</v>
      </c>
      <c r="G333" s="7">
        <v>12.5</v>
      </c>
      <c r="H333" s="7">
        <f t="shared" si="5"/>
        <v>12.5</v>
      </c>
      <c r="I333" s="3" t="s">
        <v>45</v>
      </c>
      <c r="J333" s="3" t="s">
        <v>31</v>
      </c>
      <c r="K333" s="3" t="s">
        <v>46</v>
      </c>
      <c r="L333" s="3" t="s">
        <v>47</v>
      </c>
    </row>
    <row r="334" spans="1:12" x14ac:dyDescent="0.35">
      <c r="A334" s="3">
        <v>333</v>
      </c>
      <c r="B334" s="3" t="s">
        <v>480</v>
      </c>
      <c r="C334" s="3" t="s">
        <v>481</v>
      </c>
      <c r="D334" s="4">
        <v>1</v>
      </c>
      <c r="E334" s="5">
        <v>42251</v>
      </c>
      <c r="F334" s="6">
        <v>0.56298611111111108</v>
      </c>
      <c r="G334" s="7">
        <v>16</v>
      </c>
      <c r="H334" s="7">
        <f t="shared" si="5"/>
        <v>16</v>
      </c>
      <c r="I334" s="3" t="s">
        <v>14</v>
      </c>
      <c r="J334" s="3" t="s">
        <v>26</v>
      </c>
      <c r="K334" s="3" t="s">
        <v>266</v>
      </c>
      <c r="L334" s="3" t="s">
        <v>267</v>
      </c>
    </row>
    <row r="335" spans="1:12" x14ac:dyDescent="0.35">
      <c r="A335" s="3">
        <v>334</v>
      </c>
      <c r="B335" s="3" t="s">
        <v>215</v>
      </c>
      <c r="C335" s="3" t="s">
        <v>482</v>
      </c>
      <c r="D335" s="4">
        <v>1</v>
      </c>
      <c r="E335" s="5">
        <v>42251</v>
      </c>
      <c r="F335" s="6">
        <v>0.56298611111111108</v>
      </c>
      <c r="G335" s="7">
        <v>12</v>
      </c>
      <c r="H335" s="7">
        <f t="shared" si="5"/>
        <v>12</v>
      </c>
      <c r="I335" s="3" t="s">
        <v>45</v>
      </c>
      <c r="J335" s="3" t="s">
        <v>26</v>
      </c>
      <c r="K335" s="3" t="s">
        <v>122</v>
      </c>
      <c r="L335" s="3" t="s">
        <v>123</v>
      </c>
    </row>
    <row r="336" spans="1:12" x14ac:dyDescent="0.35">
      <c r="A336" s="3">
        <v>335</v>
      </c>
      <c r="B336" s="3" t="s">
        <v>12</v>
      </c>
      <c r="C336" s="3" t="s">
        <v>483</v>
      </c>
      <c r="D336" s="4">
        <v>1</v>
      </c>
      <c r="E336" s="5">
        <v>42252</v>
      </c>
      <c r="F336" s="6">
        <v>0.93222222222222229</v>
      </c>
      <c r="G336" s="7">
        <v>16</v>
      </c>
      <c r="H336" s="7">
        <f t="shared" si="5"/>
        <v>16</v>
      </c>
      <c r="I336" s="3" t="s">
        <v>14</v>
      </c>
      <c r="J336" s="3" t="s">
        <v>15</v>
      </c>
      <c r="K336" s="3" t="s">
        <v>16</v>
      </c>
      <c r="L336" s="3" t="s">
        <v>17</v>
      </c>
    </row>
    <row r="337" spans="1:12" x14ac:dyDescent="0.35">
      <c r="A337" s="3">
        <v>336</v>
      </c>
      <c r="B337" s="3" t="s">
        <v>405</v>
      </c>
      <c r="C337" s="3" t="s">
        <v>484</v>
      </c>
      <c r="D337" s="4">
        <v>1</v>
      </c>
      <c r="E337" s="5">
        <v>42253</v>
      </c>
      <c r="F337" s="6">
        <v>0.7252777777777778</v>
      </c>
      <c r="G337" s="7">
        <v>20.5</v>
      </c>
      <c r="H337" s="7">
        <f t="shared" si="5"/>
        <v>20.5</v>
      </c>
      <c r="I337" s="3" t="s">
        <v>20</v>
      </c>
      <c r="J337" s="3" t="s">
        <v>15</v>
      </c>
      <c r="K337" s="3" t="s">
        <v>16</v>
      </c>
      <c r="L337" s="3" t="s">
        <v>17</v>
      </c>
    </row>
    <row r="338" spans="1:12" x14ac:dyDescent="0.35">
      <c r="A338" s="3">
        <v>337</v>
      </c>
      <c r="B338" s="3" t="s">
        <v>58</v>
      </c>
      <c r="C338" s="3" t="s">
        <v>485</v>
      </c>
      <c r="D338" s="4">
        <v>1</v>
      </c>
      <c r="E338" s="5">
        <v>42253</v>
      </c>
      <c r="F338" s="6">
        <v>0.74506944444444445</v>
      </c>
      <c r="G338" s="7">
        <v>17.95</v>
      </c>
      <c r="H338" s="7">
        <f t="shared" si="5"/>
        <v>17.95</v>
      </c>
      <c r="I338" s="3" t="s">
        <v>20</v>
      </c>
      <c r="J338" s="3" t="s">
        <v>26</v>
      </c>
      <c r="K338" s="3" t="s">
        <v>60</v>
      </c>
      <c r="L338" s="3" t="s">
        <v>61</v>
      </c>
    </row>
    <row r="339" spans="1:12" x14ac:dyDescent="0.35">
      <c r="A339" s="3">
        <v>338</v>
      </c>
      <c r="B339" s="3" t="s">
        <v>238</v>
      </c>
      <c r="C339" s="3" t="s">
        <v>486</v>
      </c>
      <c r="D339" s="4">
        <v>1</v>
      </c>
      <c r="E339" s="5">
        <v>42254</v>
      </c>
      <c r="F339" s="6">
        <v>0.8332060185185185</v>
      </c>
      <c r="G339" s="7">
        <v>20.25</v>
      </c>
      <c r="H339" s="7">
        <f t="shared" si="5"/>
        <v>20.25</v>
      </c>
      <c r="I339" s="3" t="s">
        <v>20</v>
      </c>
      <c r="J339" s="3" t="s">
        <v>26</v>
      </c>
      <c r="K339" s="3" t="s">
        <v>56</v>
      </c>
      <c r="L339" s="3" t="s">
        <v>57</v>
      </c>
    </row>
    <row r="340" spans="1:12" x14ac:dyDescent="0.35">
      <c r="A340" s="3">
        <v>339</v>
      </c>
      <c r="B340" s="3" t="s">
        <v>264</v>
      </c>
      <c r="C340" s="3" t="s">
        <v>379</v>
      </c>
      <c r="D340" s="4">
        <v>1</v>
      </c>
      <c r="E340" s="5">
        <v>42255</v>
      </c>
      <c r="F340" s="6">
        <v>0.52924768518518517</v>
      </c>
      <c r="G340" s="7">
        <v>12</v>
      </c>
      <c r="H340" s="7">
        <f t="shared" si="5"/>
        <v>12</v>
      </c>
      <c r="I340" s="3" t="s">
        <v>45</v>
      </c>
      <c r="J340" s="3" t="s">
        <v>26</v>
      </c>
      <c r="K340" s="3" t="s">
        <v>266</v>
      </c>
      <c r="L340" s="3" t="s">
        <v>267</v>
      </c>
    </row>
    <row r="341" spans="1:12" x14ac:dyDescent="0.35">
      <c r="A341" s="3">
        <v>340</v>
      </c>
      <c r="B341" s="3" t="s">
        <v>162</v>
      </c>
      <c r="C341" s="3" t="s">
        <v>487</v>
      </c>
      <c r="D341" s="4">
        <v>1</v>
      </c>
      <c r="E341" s="5">
        <v>42255</v>
      </c>
      <c r="F341" s="6">
        <v>0.7272453703703704</v>
      </c>
      <c r="G341" s="7">
        <v>20.75</v>
      </c>
      <c r="H341" s="7">
        <f t="shared" si="5"/>
        <v>20.75</v>
      </c>
      <c r="I341" s="3" t="s">
        <v>20</v>
      </c>
      <c r="J341" s="3" t="s">
        <v>21</v>
      </c>
      <c r="K341" s="3" t="s">
        <v>92</v>
      </c>
      <c r="L341" s="3" t="s">
        <v>93</v>
      </c>
    </row>
    <row r="342" spans="1:12" x14ac:dyDescent="0.35">
      <c r="A342" s="3">
        <v>341</v>
      </c>
      <c r="B342" s="3" t="s">
        <v>58</v>
      </c>
      <c r="C342" s="3" t="s">
        <v>488</v>
      </c>
      <c r="D342" s="4">
        <v>1</v>
      </c>
      <c r="E342" s="5">
        <v>42255</v>
      </c>
      <c r="F342" s="6">
        <v>0.75732638888888892</v>
      </c>
      <c r="G342" s="7">
        <v>17.95</v>
      </c>
      <c r="H342" s="7">
        <f t="shared" si="5"/>
        <v>17.95</v>
      </c>
      <c r="I342" s="3" t="s">
        <v>20</v>
      </c>
      <c r="J342" s="3" t="s">
        <v>26</v>
      </c>
      <c r="K342" s="3" t="s">
        <v>60</v>
      </c>
      <c r="L342" s="3" t="s">
        <v>61</v>
      </c>
    </row>
    <row r="343" spans="1:12" x14ac:dyDescent="0.35">
      <c r="A343" s="3">
        <v>342</v>
      </c>
      <c r="B343" s="3" t="s">
        <v>238</v>
      </c>
      <c r="C343" s="3" t="s">
        <v>489</v>
      </c>
      <c r="D343" s="4">
        <v>1</v>
      </c>
      <c r="E343" s="5">
        <v>42255</v>
      </c>
      <c r="F343" s="6">
        <v>0.79737268518518523</v>
      </c>
      <c r="G343" s="7">
        <v>20.25</v>
      </c>
      <c r="H343" s="7">
        <f t="shared" si="5"/>
        <v>20.25</v>
      </c>
      <c r="I343" s="3" t="s">
        <v>20</v>
      </c>
      <c r="J343" s="3" t="s">
        <v>26</v>
      </c>
      <c r="K343" s="3" t="s">
        <v>56</v>
      </c>
      <c r="L343" s="3" t="s">
        <v>57</v>
      </c>
    </row>
    <row r="344" spans="1:12" x14ac:dyDescent="0.35">
      <c r="A344" s="3">
        <v>343</v>
      </c>
      <c r="B344" s="3" t="s">
        <v>12</v>
      </c>
      <c r="C344" s="3" t="s">
        <v>490</v>
      </c>
      <c r="D344" s="4">
        <v>1</v>
      </c>
      <c r="E344" s="5">
        <v>42257</v>
      </c>
      <c r="F344" s="6">
        <v>0.60398148148148145</v>
      </c>
      <c r="G344" s="7">
        <v>16</v>
      </c>
      <c r="H344" s="7">
        <f t="shared" si="5"/>
        <v>16</v>
      </c>
      <c r="I344" s="3" t="s">
        <v>14</v>
      </c>
      <c r="J344" s="3" t="s">
        <v>15</v>
      </c>
      <c r="K344" s="3" t="s">
        <v>16</v>
      </c>
      <c r="L344" s="3" t="s">
        <v>17</v>
      </c>
    </row>
    <row r="345" spans="1:12" x14ac:dyDescent="0.35">
      <c r="A345" s="3">
        <v>344</v>
      </c>
      <c r="B345" s="3" t="s">
        <v>195</v>
      </c>
      <c r="C345" s="3" t="s">
        <v>491</v>
      </c>
      <c r="D345" s="4">
        <v>1</v>
      </c>
      <c r="E345" s="5">
        <v>42258</v>
      </c>
      <c r="F345" s="6">
        <v>0.52554398148148151</v>
      </c>
      <c r="G345" s="7">
        <v>12</v>
      </c>
      <c r="H345" s="7">
        <f t="shared" si="5"/>
        <v>12</v>
      </c>
      <c r="I345" s="3" t="s">
        <v>45</v>
      </c>
      <c r="J345" s="3" t="s">
        <v>26</v>
      </c>
      <c r="K345" s="3" t="s">
        <v>197</v>
      </c>
      <c r="L345" s="3" t="s">
        <v>198</v>
      </c>
    </row>
    <row r="346" spans="1:12" x14ac:dyDescent="0.35">
      <c r="A346" s="3">
        <v>345</v>
      </c>
      <c r="B346" s="3" t="s">
        <v>426</v>
      </c>
      <c r="C346" s="3" t="s">
        <v>492</v>
      </c>
      <c r="D346" s="4">
        <v>1</v>
      </c>
      <c r="E346" s="5">
        <v>42258</v>
      </c>
      <c r="F346" s="6">
        <v>0.52554398148148151</v>
      </c>
      <c r="G346" s="7">
        <v>20.5</v>
      </c>
      <c r="H346" s="7">
        <f t="shared" si="5"/>
        <v>20.5</v>
      </c>
      <c r="I346" s="3" t="s">
        <v>20</v>
      </c>
      <c r="J346" s="3" t="s">
        <v>15</v>
      </c>
      <c r="K346" s="3" t="s">
        <v>184</v>
      </c>
      <c r="L346" s="3" t="s">
        <v>185</v>
      </c>
    </row>
    <row r="347" spans="1:12" x14ac:dyDescent="0.35">
      <c r="A347" s="3">
        <v>346</v>
      </c>
      <c r="B347" s="3" t="s">
        <v>101</v>
      </c>
      <c r="C347" s="3" t="s">
        <v>493</v>
      </c>
      <c r="D347" s="4">
        <v>1</v>
      </c>
      <c r="E347" s="5">
        <v>42258</v>
      </c>
      <c r="F347" s="6">
        <v>0.59097222222222223</v>
      </c>
      <c r="G347" s="7">
        <v>20.75</v>
      </c>
      <c r="H347" s="7">
        <f t="shared" si="5"/>
        <v>20.75</v>
      </c>
      <c r="I347" s="3" t="s">
        <v>20</v>
      </c>
      <c r="J347" s="3" t="s">
        <v>21</v>
      </c>
      <c r="K347" s="3" t="s">
        <v>103</v>
      </c>
      <c r="L347" s="3" t="s">
        <v>104</v>
      </c>
    </row>
    <row r="348" spans="1:12" x14ac:dyDescent="0.35">
      <c r="A348" s="3">
        <v>347</v>
      </c>
      <c r="B348" s="3" t="s">
        <v>480</v>
      </c>
      <c r="C348" s="3" t="s">
        <v>494</v>
      </c>
      <c r="D348" s="4">
        <v>1</v>
      </c>
      <c r="E348" s="5">
        <v>42258</v>
      </c>
      <c r="F348" s="6">
        <v>0.60591435185185183</v>
      </c>
      <c r="G348" s="7">
        <v>16</v>
      </c>
      <c r="H348" s="7">
        <f t="shared" si="5"/>
        <v>16</v>
      </c>
      <c r="I348" s="3" t="s">
        <v>14</v>
      </c>
      <c r="J348" s="3" t="s">
        <v>26</v>
      </c>
      <c r="K348" s="3" t="s">
        <v>266</v>
      </c>
      <c r="L348" s="3" t="s">
        <v>267</v>
      </c>
    </row>
    <row r="349" spans="1:12" x14ac:dyDescent="0.35">
      <c r="A349" s="3">
        <v>348</v>
      </c>
      <c r="B349" s="3" t="s">
        <v>74</v>
      </c>
      <c r="C349" s="3" t="s">
        <v>495</v>
      </c>
      <c r="D349" s="4">
        <v>1</v>
      </c>
      <c r="E349" s="5">
        <v>42259</v>
      </c>
      <c r="F349" s="6">
        <v>0.51112268518518522</v>
      </c>
      <c r="G349" s="7">
        <v>12.25</v>
      </c>
      <c r="H349" s="7">
        <f t="shared" si="5"/>
        <v>12.25</v>
      </c>
      <c r="I349" s="3" t="s">
        <v>45</v>
      </c>
      <c r="J349" s="3" t="s">
        <v>31</v>
      </c>
      <c r="K349" s="3" t="s">
        <v>76</v>
      </c>
      <c r="L349" s="3" t="s">
        <v>77</v>
      </c>
    </row>
    <row r="350" spans="1:12" x14ac:dyDescent="0.35">
      <c r="A350" s="3">
        <v>349</v>
      </c>
      <c r="B350" s="3" t="s">
        <v>39</v>
      </c>
      <c r="C350" s="3" t="s">
        <v>496</v>
      </c>
      <c r="D350" s="4">
        <v>1</v>
      </c>
      <c r="E350" s="5">
        <v>42259</v>
      </c>
      <c r="F350" s="6">
        <v>0.56674768518518526</v>
      </c>
      <c r="G350" s="7">
        <v>15.25</v>
      </c>
      <c r="H350" s="7">
        <f t="shared" si="5"/>
        <v>15.25</v>
      </c>
      <c r="I350" s="3" t="s">
        <v>20</v>
      </c>
      <c r="J350" s="3" t="s">
        <v>15</v>
      </c>
      <c r="K350" s="3" t="s">
        <v>41</v>
      </c>
      <c r="L350" s="3" t="s">
        <v>42</v>
      </c>
    </row>
    <row r="351" spans="1:12" x14ac:dyDescent="0.35">
      <c r="A351" s="3">
        <v>350</v>
      </c>
      <c r="B351" s="3" t="s">
        <v>480</v>
      </c>
      <c r="C351" s="3" t="s">
        <v>497</v>
      </c>
      <c r="D351" s="4">
        <v>1</v>
      </c>
      <c r="E351" s="5">
        <v>42259</v>
      </c>
      <c r="F351" s="6">
        <v>0.7341550925925926</v>
      </c>
      <c r="G351" s="7">
        <v>16</v>
      </c>
      <c r="H351" s="7">
        <f t="shared" si="5"/>
        <v>16</v>
      </c>
      <c r="I351" s="3" t="s">
        <v>14</v>
      </c>
      <c r="J351" s="3" t="s">
        <v>26</v>
      </c>
      <c r="K351" s="3" t="s">
        <v>266</v>
      </c>
      <c r="L351" s="3" t="s">
        <v>267</v>
      </c>
    </row>
    <row r="352" spans="1:12" x14ac:dyDescent="0.35">
      <c r="A352" s="3">
        <v>351</v>
      </c>
      <c r="B352" s="3" t="s">
        <v>498</v>
      </c>
      <c r="C352" s="3" t="s">
        <v>499</v>
      </c>
      <c r="D352" s="4">
        <v>1</v>
      </c>
      <c r="E352" s="5">
        <v>42260</v>
      </c>
      <c r="F352" s="6">
        <v>0.77577546296296296</v>
      </c>
      <c r="G352" s="7">
        <v>12.75</v>
      </c>
      <c r="H352" s="7">
        <f t="shared" si="5"/>
        <v>12.75</v>
      </c>
      <c r="I352" s="3" t="s">
        <v>45</v>
      </c>
      <c r="J352" s="3" t="s">
        <v>21</v>
      </c>
      <c r="K352" s="3" t="s">
        <v>140</v>
      </c>
      <c r="L352" s="3" t="s">
        <v>141</v>
      </c>
    </row>
    <row r="353" spans="1:12" x14ac:dyDescent="0.35">
      <c r="A353" s="3">
        <v>352</v>
      </c>
      <c r="B353" s="3" t="s">
        <v>162</v>
      </c>
      <c r="C353" s="3" t="s">
        <v>500</v>
      </c>
      <c r="D353" s="4">
        <v>1</v>
      </c>
      <c r="E353" s="5">
        <v>42260</v>
      </c>
      <c r="F353" s="6">
        <v>0.89853009259259264</v>
      </c>
      <c r="G353" s="7">
        <v>20.75</v>
      </c>
      <c r="H353" s="7">
        <f t="shared" si="5"/>
        <v>20.75</v>
      </c>
      <c r="I353" s="3" t="s">
        <v>20</v>
      </c>
      <c r="J353" s="3" t="s">
        <v>21</v>
      </c>
      <c r="K353" s="3" t="s">
        <v>92</v>
      </c>
      <c r="L353" s="3" t="s">
        <v>93</v>
      </c>
    </row>
    <row r="354" spans="1:12" x14ac:dyDescent="0.35">
      <c r="A354" s="3">
        <v>353</v>
      </c>
      <c r="B354" s="3" t="s">
        <v>321</v>
      </c>
      <c r="C354" s="3" t="s">
        <v>501</v>
      </c>
      <c r="D354" s="4">
        <v>1</v>
      </c>
      <c r="E354" s="5">
        <v>42262</v>
      </c>
      <c r="F354" s="6">
        <v>0.74335648148148137</v>
      </c>
      <c r="G354" s="7">
        <v>16.5</v>
      </c>
      <c r="H354" s="7">
        <f t="shared" si="5"/>
        <v>16.5</v>
      </c>
      <c r="I354" s="3" t="s">
        <v>14</v>
      </c>
      <c r="J354" s="3" t="s">
        <v>26</v>
      </c>
      <c r="K354" s="3" t="s">
        <v>166</v>
      </c>
      <c r="L354" s="3" t="s">
        <v>167</v>
      </c>
    </row>
    <row r="355" spans="1:12" x14ac:dyDescent="0.35">
      <c r="A355" s="3">
        <v>354</v>
      </c>
      <c r="B355" s="3" t="s">
        <v>480</v>
      </c>
      <c r="C355" s="3" t="s">
        <v>502</v>
      </c>
      <c r="D355" s="4">
        <v>1</v>
      </c>
      <c r="E355" s="5">
        <v>42262</v>
      </c>
      <c r="F355" s="6">
        <v>0.92372685185185188</v>
      </c>
      <c r="G355" s="7">
        <v>16</v>
      </c>
      <c r="H355" s="7">
        <f t="shared" si="5"/>
        <v>16</v>
      </c>
      <c r="I355" s="3" t="s">
        <v>14</v>
      </c>
      <c r="J355" s="3" t="s">
        <v>26</v>
      </c>
      <c r="K355" s="3" t="s">
        <v>266</v>
      </c>
      <c r="L355" s="3" t="s">
        <v>267</v>
      </c>
    </row>
    <row r="356" spans="1:12" x14ac:dyDescent="0.35">
      <c r="A356" s="3">
        <v>355</v>
      </c>
      <c r="B356" s="3" t="s">
        <v>155</v>
      </c>
      <c r="C356" s="3" t="s">
        <v>503</v>
      </c>
      <c r="D356" s="4">
        <v>1</v>
      </c>
      <c r="E356" s="5">
        <v>42263</v>
      </c>
      <c r="F356" s="6">
        <v>0.60373842592592586</v>
      </c>
      <c r="G356" s="7">
        <v>16.5</v>
      </c>
      <c r="H356" s="7">
        <f t="shared" si="5"/>
        <v>16.5</v>
      </c>
      <c r="I356" s="3" t="s">
        <v>14</v>
      </c>
      <c r="J356" s="3" t="s">
        <v>31</v>
      </c>
      <c r="K356" s="3" t="s">
        <v>46</v>
      </c>
      <c r="L356" s="3" t="s">
        <v>47</v>
      </c>
    </row>
    <row r="357" spans="1:12" x14ac:dyDescent="0.35">
      <c r="A357" s="3">
        <v>356</v>
      </c>
      <c r="B357" s="3" t="s">
        <v>111</v>
      </c>
      <c r="C357" s="3" t="s">
        <v>504</v>
      </c>
      <c r="D357" s="4">
        <v>1</v>
      </c>
      <c r="E357" s="5">
        <v>42263</v>
      </c>
      <c r="F357" s="6">
        <v>0.74935185185185194</v>
      </c>
      <c r="G357" s="7">
        <v>20.75</v>
      </c>
      <c r="H357" s="7">
        <f t="shared" si="5"/>
        <v>20.75</v>
      </c>
      <c r="I357" s="3" t="s">
        <v>20</v>
      </c>
      <c r="J357" s="3" t="s">
        <v>21</v>
      </c>
      <c r="K357" s="3" t="s">
        <v>81</v>
      </c>
      <c r="L357" s="3" t="s">
        <v>82</v>
      </c>
    </row>
    <row r="358" spans="1:12" x14ac:dyDescent="0.35">
      <c r="A358" s="3">
        <v>357</v>
      </c>
      <c r="B358" s="3" t="s">
        <v>158</v>
      </c>
      <c r="C358" s="3" t="s">
        <v>505</v>
      </c>
      <c r="D358" s="4">
        <v>1</v>
      </c>
      <c r="E358" s="5">
        <v>42264</v>
      </c>
      <c r="F358" s="6">
        <v>0.6802083333333333</v>
      </c>
      <c r="G358" s="7">
        <v>20.75</v>
      </c>
      <c r="H358" s="7">
        <f t="shared" si="5"/>
        <v>20.75</v>
      </c>
      <c r="I358" s="3" t="s">
        <v>20</v>
      </c>
      <c r="J358" s="3" t="s">
        <v>31</v>
      </c>
      <c r="K358" s="3" t="s">
        <v>46</v>
      </c>
      <c r="L358" s="3" t="s">
        <v>47</v>
      </c>
    </row>
    <row r="359" spans="1:12" x14ac:dyDescent="0.35">
      <c r="A359" s="3">
        <v>358</v>
      </c>
      <c r="B359" s="3" t="s">
        <v>101</v>
      </c>
      <c r="C359" s="3" t="s">
        <v>506</v>
      </c>
      <c r="D359" s="4">
        <v>1</v>
      </c>
      <c r="E359" s="5">
        <v>42265</v>
      </c>
      <c r="F359" s="6">
        <v>0.49194444444444446</v>
      </c>
      <c r="G359" s="7">
        <v>20.75</v>
      </c>
      <c r="H359" s="7">
        <f t="shared" si="5"/>
        <v>20.75</v>
      </c>
      <c r="I359" s="3" t="s">
        <v>20</v>
      </c>
      <c r="J359" s="3" t="s">
        <v>21</v>
      </c>
      <c r="K359" s="3" t="s">
        <v>103</v>
      </c>
      <c r="L359" s="3" t="s">
        <v>104</v>
      </c>
    </row>
    <row r="360" spans="1:12" x14ac:dyDescent="0.35">
      <c r="A360" s="3">
        <v>359</v>
      </c>
      <c r="B360" s="3" t="s">
        <v>84</v>
      </c>
      <c r="C360" s="3" t="s">
        <v>507</v>
      </c>
      <c r="D360" s="4">
        <v>1</v>
      </c>
      <c r="E360" s="5">
        <v>42265</v>
      </c>
      <c r="F360" s="6">
        <v>0.87671296296296297</v>
      </c>
      <c r="G360" s="7">
        <v>20.25</v>
      </c>
      <c r="H360" s="7">
        <f t="shared" si="5"/>
        <v>20.25</v>
      </c>
      <c r="I360" s="3" t="s">
        <v>20</v>
      </c>
      <c r="J360" s="3" t="s">
        <v>31</v>
      </c>
      <c r="K360" s="3" t="s">
        <v>76</v>
      </c>
      <c r="L360" s="3" t="s">
        <v>77</v>
      </c>
    </row>
    <row r="361" spans="1:12" x14ac:dyDescent="0.35">
      <c r="A361" s="3">
        <v>360</v>
      </c>
      <c r="B361" s="3" t="s">
        <v>133</v>
      </c>
      <c r="C361" s="3" t="s">
        <v>508</v>
      </c>
      <c r="D361" s="4">
        <v>1</v>
      </c>
      <c r="E361" s="5">
        <v>42266</v>
      </c>
      <c r="F361" s="6">
        <v>0.63042824074074078</v>
      </c>
      <c r="G361" s="7">
        <v>16.75</v>
      </c>
      <c r="H361" s="7">
        <f t="shared" si="5"/>
        <v>16.75</v>
      </c>
      <c r="I361" s="3" t="s">
        <v>14</v>
      </c>
      <c r="J361" s="3" t="s">
        <v>21</v>
      </c>
      <c r="K361" s="3" t="s">
        <v>103</v>
      </c>
      <c r="L361" s="3" t="s">
        <v>104</v>
      </c>
    </row>
    <row r="362" spans="1:12" x14ac:dyDescent="0.35">
      <c r="A362" s="3">
        <v>361</v>
      </c>
      <c r="B362" s="3" t="s">
        <v>381</v>
      </c>
      <c r="C362" s="3" t="s">
        <v>509</v>
      </c>
      <c r="D362" s="4">
        <v>1</v>
      </c>
      <c r="E362" s="5">
        <v>42266</v>
      </c>
      <c r="F362" s="6">
        <v>0.741724537037037</v>
      </c>
      <c r="G362" s="7">
        <v>12.25</v>
      </c>
      <c r="H362" s="7">
        <f t="shared" si="5"/>
        <v>12.25</v>
      </c>
      <c r="I362" s="3" t="s">
        <v>45</v>
      </c>
      <c r="J362" s="3" t="s">
        <v>31</v>
      </c>
      <c r="K362" s="3" t="s">
        <v>146</v>
      </c>
      <c r="L362" s="3" t="s">
        <v>147</v>
      </c>
    </row>
    <row r="363" spans="1:12" x14ac:dyDescent="0.35">
      <c r="A363" s="3">
        <v>362</v>
      </c>
      <c r="B363" s="3" t="s">
        <v>105</v>
      </c>
      <c r="C363" s="3" t="s">
        <v>510</v>
      </c>
      <c r="D363" s="4">
        <v>1</v>
      </c>
      <c r="E363" s="5">
        <v>42266</v>
      </c>
      <c r="F363" s="6">
        <v>0.83728009259259262</v>
      </c>
      <c r="G363" s="7">
        <v>16.5</v>
      </c>
      <c r="H363" s="7">
        <f t="shared" si="5"/>
        <v>16.5</v>
      </c>
      <c r="I363" s="3" t="s">
        <v>20</v>
      </c>
      <c r="J363" s="3" t="s">
        <v>15</v>
      </c>
      <c r="K363" s="3" t="s">
        <v>107</v>
      </c>
      <c r="L363" s="3" t="s">
        <v>108</v>
      </c>
    </row>
    <row r="364" spans="1:12" x14ac:dyDescent="0.35">
      <c r="A364" s="3">
        <v>363</v>
      </c>
      <c r="B364" s="3" t="s">
        <v>170</v>
      </c>
      <c r="C364" s="3" t="s">
        <v>188</v>
      </c>
      <c r="D364" s="4">
        <v>1</v>
      </c>
      <c r="E364" s="5">
        <v>42266</v>
      </c>
      <c r="F364" s="6">
        <v>0.87607638888888895</v>
      </c>
      <c r="G364" s="7">
        <v>12</v>
      </c>
      <c r="H364" s="7">
        <f t="shared" si="5"/>
        <v>12</v>
      </c>
      <c r="I364" s="3" t="s">
        <v>45</v>
      </c>
      <c r="J364" s="3" t="s">
        <v>15</v>
      </c>
      <c r="K364" s="3" t="s">
        <v>172</v>
      </c>
      <c r="L364" s="3" t="s">
        <v>173</v>
      </c>
    </row>
    <row r="365" spans="1:12" x14ac:dyDescent="0.35">
      <c r="A365" s="3">
        <v>364</v>
      </c>
      <c r="B365" s="3" t="s">
        <v>407</v>
      </c>
      <c r="C365" s="3" t="s">
        <v>511</v>
      </c>
      <c r="D365" s="4">
        <v>1</v>
      </c>
      <c r="E365" s="5">
        <v>42268</v>
      </c>
      <c r="F365" s="6">
        <v>0.53749999999999998</v>
      </c>
      <c r="G365" s="7">
        <v>14.75</v>
      </c>
      <c r="H365" s="7">
        <f t="shared" si="5"/>
        <v>14.75</v>
      </c>
      <c r="I365" s="3" t="s">
        <v>14</v>
      </c>
      <c r="J365" s="3" t="s">
        <v>26</v>
      </c>
      <c r="K365" s="3" t="s">
        <v>60</v>
      </c>
      <c r="L365" s="3" t="s">
        <v>61</v>
      </c>
    </row>
    <row r="366" spans="1:12" x14ac:dyDescent="0.35">
      <c r="A366" s="3">
        <v>365</v>
      </c>
      <c r="B366" s="3" t="s">
        <v>70</v>
      </c>
      <c r="C366" s="3" t="s">
        <v>303</v>
      </c>
      <c r="D366" s="4">
        <v>1</v>
      </c>
      <c r="E366" s="5">
        <v>42273</v>
      </c>
      <c r="F366" s="6">
        <v>0.52822916666666664</v>
      </c>
      <c r="G366" s="7">
        <v>16.75</v>
      </c>
      <c r="H366" s="7">
        <f t="shared" si="5"/>
        <v>16.75</v>
      </c>
      <c r="I366" s="3" t="s">
        <v>14</v>
      </c>
      <c r="J366" s="3" t="s">
        <v>26</v>
      </c>
      <c r="K366" s="3" t="s">
        <v>72</v>
      </c>
      <c r="L366" s="3" t="s">
        <v>73</v>
      </c>
    </row>
    <row r="367" spans="1:12" x14ac:dyDescent="0.35">
      <c r="A367" s="3">
        <v>366</v>
      </c>
      <c r="B367" s="3" t="s">
        <v>24</v>
      </c>
      <c r="C367" s="3" t="s">
        <v>512</v>
      </c>
      <c r="D367" s="4">
        <v>2</v>
      </c>
      <c r="E367" s="5">
        <v>42273</v>
      </c>
      <c r="F367" s="6">
        <v>0.74855324074074081</v>
      </c>
      <c r="G367" s="7">
        <v>18.5</v>
      </c>
      <c r="H367" s="7">
        <f t="shared" si="5"/>
        <v>37</v>
      </c>
      <c r="I367" s="3" t="s">
        <v>20</v>
      </c>
      <c r="J367" s="3" t="s">
        <v>26</v>
      </c>
      <c r="K367" s="3" t="s">
        <v>27</v>
      </c>
      <c r="L367" s="3" t="s">
        <v>28</v>
      </c>
    </row>
    <row r="368" spans="1:12" x14ac:dyDescent="0.35">
      <c r="A368" s="3">
        <v>367</v>
      </c>
      <c r="B368" s="3" t="s">
        <v>405</v>
      </c>
      <c r="C368" s="3" t="s">
        <v>513</v>
      </c>
      <c r="D368" s="4">
        <v>1</v>
      </c>
      <c r="E368" s="5">
        <v>42273</v>
      </c>
      <c r="F368" s="6">
        <v>0.76199074074074069</v>
      </c>
      <c r="G368" s="7">
        <v>20.5</v>
      </c>
      <c r="H368" s="7">
        <f t="shared" si="5"/>
        <v>20.5</v>
      </c>
      <c r="I368" s="3" t="s">
        <v>20</v>
      </c>
      <c r="J368" s="3" t="s">
        <v>15</v>
      </c>
      <c r="K368" s="3" t="s">
        <v>16</v>
      </c>
      <c r="L368" s="3" t="s">
        <v>17</v>
      </c>
    </row>
    <row r="369" spans="1:12" x14ac:dyDescent="0.35">
      <c r="A369" s="3">
        <v>368</v>
      </c>
      <c r="B369" s="3" t="s">
        <v>162</v>
      </c>
      <c r="C369" s="3" t="s">
        <v>404</v>
      </c>
      <c r="D369" s="4">
        <v>1</v>
      </c>
      <c r="E369" s="5">
        <v>42274</v>
      </c>
      <c r="F369" s="6">
        <v>0.54289351851851853</v>
      </c>
      <c r="G369" s="7">
        <v>20.75</v>
      </c>
      <c r="H369" s="7">
        <f t="shared" si="5"/>
        <v>20.75</v>
      </c>
      <c r="I369" s="3" t="s">
        <v>20</v>
      </c>
      <c r="J369" s="3" t="s">
        <v>21</v>
      </c>
      <c r="K369" s="3" t="s">
        <v>92</v>
      </c>
      <c r="L369" s="3" t="s">
        <v>93</v>
      </c>
    </row>
    <row r="370" spans="1:12" x14ac:dyDescent="0.35">
      <c r="A370" s="3">
        <v>369</v>
      </c>
      <c r="B370" s="3" t="s">
        <v>238</v>
      </c>
      <c r="C370" s="3" t="s">
        <v>514</v>
      </c>
      <c r="D370" s="4">
        <v>1</v>
      </c>
      <c r="E370" s="5">
        <v>42274</v>
      </c>
      <c r="F370" s="6">
        <v>0.55377314814814815</v>
      </c>
      <c r="G370" s="7">
        <v>20.25</v>
      </c>
      <c r="H370" s="7">
        <f t="shared" si="5"/>
        <v>20.25</v>
      </c>
      <c r="I370" s="3" t="s">
        <v>20</v>
      </c>
      <c r="J370" s="3" t="s">
        <v>26</v>
      </c>
      <c r="K370" s="3" t="s">
        <v>56</v>
      </c>
      <c r="L370" s="3" t="s">
        <v>57</v>
      </c>
    </row>
    <row r="371" spans="1:12" x14ac:dyDescent="0.35">
      <c r="A371" s="3">
        <v>370</v>
      </c>
      <c r="B371" s="3" t="s">
        <v>138</v>
      </c>
      <c r="C371" s="3" t="s">
        <v>515</v>
      </c>
      <c r="D371" s="4">
        <v>1</v>
      </c>
      <c r="E371" s="5">
        <v>42275</v>
      </c>
      <c r="F371" s="6">
        <v>0.56694444444444447</v>
      </c>
      <c r="G371" s="7">
        <v>20.75</v>
      </c>
      <c r="H371" s="7">
        <f t="shared" si="5"/>
        <v>20.75</v>
      </c>
      <c r="I371" s="3" t="s">
        <v>20</v>
      </c>
      <c r="J371" s="3" t="s">
        <v>21</v>
      </c>
      <c r="K371" s="3" t="s">
        <v>140</v>
      </c>
      <c r="L371" s="3" t="s">
        <v>141</v>
      </c>
    </row>
    <row r="372" spans="1:12" x14ac:dyDescent="0.35">
      <c r="A372" s="3">
        <v>371</v>
      </c>
      <c r="B372" s="3" t="s">
        <v>175</v>
      </c>
      <c r="C372" s="3" t="s">
        <v>516</v>
      </c>
      <c r="D372" s="4">
        <v>1</v>
      </c>
      <c r="E372" s="5">
        <v>42276</v>
      </c>
      <c r="F372" s="6">
        <v>0.52695601851851859</v>
      </c>
      <c r="G372" s="7">
        <v>12</v>
      </c>
      <c r="H372" s="7">
        <f t="shared" si="5"/>
        <v>12</v>
      </c>
      <c r="I372" s="3" t="s">
        <v>45</v>
      </c>
      <c r="J372" s="3" t="s">
        <v>15</v>
      </c>
      <c r="K372" s="3" t="s">
        <v>16</v>
      </c>
      <c r="L372" s="3" t="s">
        <v>17</v>
      </c>
    </row>
    <row r="373" spans="1:12" x14ac:dyDescent="0.35">
      <c r="A373" s="3">
        <v>372</v>
      </c>
      <c r="B373" s="3" t="s">
        <v>94</v>
      </c>
      <c r="C373" s="3" t="s">
        <v>517</v>
      </c>
      <c r="D373" s="4">
        <v>1</v>
      </c>
      <c r="E373" s="5">
        <v>42276</v>
      </c>
      <c r="F373" s="6">
        <v>0.57437499999999997</v>
      </c>
      <c r="G373" s="7">
        <v>9.75</v>
      </c>
      <c r="H373" s="7">
        <f t="shared" si="5"/>
        <v>9.75</v>
      </c>
      <c r="I373" s="3" t="s">
        <v>45</v>
      </c>
      <c r="J373" s="3" t="s">
        <v>15</v>
      </c>
      <c r="K373" s="3" t="s">
        <v>41</v>
      </c>
      <c r="L373" s="3" t="s">
        <v>42</v>
      </c>
    </row>
    <row r="374" spans="1:12" x14ac:dyDescent="0.35">
      <c r="A374" s="3">
        <v>373</v>
      </c>
      <c r="B374" s="3" t="s">
        <v>155</v>
      </c>
      <c r="C374" s="3" t="s">
        <v>518</v>
      </c>
      <c r="D374" s="4">
        <v>1</v>
      </c>
      <c r="E374" s="5">
        <v>42276</v>
      </c>
      <c r="F374" s="6">
        <v>0.58243055555555556</v>
      </c>
      <c r="G374" s="7">
        <v>16.5</v>
      </c>
      <c r="H374" s="7">
        <f t="shared" si="5"/>
        <v>16.5</v>
      </c>
      <c r="I374" s="3" t="s">
        <v>14</v>
      </c>
      <c r="J374" s="3" t="s">
        <v>31</v>
      </c>
      <c r="K374" s="3" t="s">
        <v>46</v>
      </c>
      <c r="L374" s="3" t="s">
        <v>47</v>
      </c>
    </row>
    <row r="375" spans="1:12" x14ac:dyDescent="0.35">
      <c r="A375" s="3">
        <v>374</v>
      </c>
      <c r="B375" s="3" t="s">
        <v>29</v>
      </c>
      <c r="C375" s="3" t="s">
        <v>519</v>
      </c>
      <c r="D375" s="4">
        <v>1</v>
      </c>
      <c r="E375" s="5">
        <v>42276</v>
      </c>
      <c r="F375" s="6">
        <v>0.65659722222222217</v>
      </c>
      <c r="G375" s="7">
        <v>20.75</v>
      </c>
      <c r="H375" s="7">
        <f t="shared" si="5"/>
        <v>20.75</v>
      </c>
      <c r="I375" s="3" t="s">
        <v>20</v>
      </c>
      <c r="J375" s="3" t="s">
        <v>31</v>
      </c>
      <c r="K375" s="3" t="s">
        <v>32</v>
      </c>
      <c r="L375" s="3" t="s">
        <v>33</v>
      </c>
    </row>
    <row r="376" spans="1:12" x14ac:dyDescent="0.35">
      <c r="A376" s="3">
        <v>375</v>
      </c>
      <c r="B376" s="3" t="s">
        <v>411</v>
      </c>
      <c r="C376" s="3" t="s">
        <v>520</v>
      </c>
      <c r="D376" s="4">
        <v>1</v>
      </c>
      <c r="E376" s="5">
        <v>42277</v>
      </c>
      <c r="F376" s="6">
        <v>0.79863425925925924</v>
      </c>
      <c r="G376" s="7">
        <v>11</v>
      </c>
      <c r="H376" s="7">
        <f t="shared" si="5"/>
        <v>11</v>
      </c>
      <c r="I376" s="3" t="s">
        <v>45</v>
      </c>
      <c r="J376" s="3" t="s">
        <v>15</v>
      </c>
      <c r="K376" s="3" t="s">
        <v>368</v>
      </c>
      <c r="L376" s="3" t="s">
        <v>369</v>
      </c>
    </row>
    <row r="377" spans="1:12" x14ac:dyDescent="0.35">
      <c r="A377" s="3">
        <v>376</v>
      </c>
      <c r="B377" s="3" t="s">
        <v>405</v>
      </c>
      <c r="C377" s="3" t="s">
        <v>521</v>
      </c>
      <c r="D377" s="4">
        <v>1</v>
      </c>
      <c r="E377" s="5">
        <v>42278</v>
      </c>
      <c r="F377" s="6">
        <v>0.51894675925925926</v>
      </c>
      <c r="G377" s="7">
        <v>20.5</v>
      </c>
      <c r="H377" s="7">
        <f t="shared" si="5"/>
        <v>20.5</v>
      </c>
      <c r="I377" s="3" t="s">
        <v>20</v>
      </c>
      <c r="J377" s="3" t="s">
        <v>15</v>
      </c>
      <c r="K377" s="3" t="s">
        <v>16</v>
      </c>
      <c r="L377" s="3" t="s">
        <v>17</v>
      </c>
    </row>
    <row r="378" spans="1:12" x14ac:dyDescent="0.35">
      <c r="A378" s="3">
        <v>377</v>
      </c>
      <c r="B378" s="3" t="s">
        <v>182</v>
      </c>
      <c r="C378" s="3" t="s">
        <v>522</v>
      </c>
      <c r="D378" s="4">
        <v>1</v>
      </c>
      <c r="E378" s="5">
        <v>42278</v>
      </c>
      <c r="F378" s="6">
        <v>0.63788194444444446</v>
      </c>
      <c r="G378" s="7">
        <v>12</v>
      </c>
      <c r="H378" s="7">
        <f t="shared" si="5"/>
        <v>12</v>
      </c>
      <c r="I378" s="3" t="s">
        <v>45</v>
      </c>
      <c r="J378" s="3" t="s">
        <v>15</v>
      </c>
      <c r="K378" s="3" t="s">
        <v>184</v>
      </c>
      <c r="L378" s="3" t="s">
        <v>185</v>
      </c>
    </row>
    <row r="379" spans="1:12" x14ac:dyDescent="0.35">
      <c r="A379" s="3">
        <v>378</v>
      </c>
      <c r="B379" s="3" t="s">
        <v>86</v>
      </c>
      <c r="C379" s="3" t="s">
        <v>523</v>
      </c>
      <c r="D379" s="4">
        <v>1</v>
      </c>
      <c r="E379" s="5">
        <v>42278</v>
      </c>
      <c r="F379" s="6">
        <v>0.81263888888888891</v>
      </c>
      <c r="G379" s="7">
        <v>16.5</v>
      </c>
      <c r="H379" s="7">
        <f t="shared" si="5"/>
        <v>16.5</v>
      </c>
      <c r="I379" s="3" t="s">
        <v>14</v>
      </c>
      <c r="J379" s="3" t="s">
        <v>31</v>
      </c>
      <c r="K379" s="3" t="s">
        <v>88</v>
      </c>
      <c r="L379" s="3" t="s">
        <v>89</v>
      </c>
    </row>
    <row r="380" spans="1:12" x14ac:dyDescent="0.35">
      <c r="A380" s="3">
        <v>379</v>
      </c>
      <c r="B380" s="3" t="s">
        <v>58</v>
      </c>
      <c r="C380" s="3" t="s">
        <v>524</v>
      </c>
      <c r="D380" s="4">
        <v>1</v>
      </c>
      <c r="E380" s="5">
        <v>42278</v>
      </c>
      <c r="F380" s="6">
        <v>0.87516203703703699</v>
      </c>
      <c r="G380" s="7">
        <v>17.95</v>
      </c>
      <c r="H380" s="7">
        <f t="shared" si="5"/>
        <v>17.95</v>
      </c>
      <c r="I380" s="3" t="s">
        <v>20</v>
      </c>
      <c r="J380" s="3" t="s">
        <v>26</v>
      </c>
      <c r="K380" s="3" t="s">
        <v>60</v>
      </c>
      <c r="L380" s="3" t="s">
        <v>61</v>
      </c>
    </row>
    <row r="381" spans="1:12" x14ac:dyDescent="0.35">
      <c r="A381" s="3">
        <v>380</v>
      </c>
      <c r="B381" s="3" t="s">
        <v>498</v>
      </c>
      <c r="C381" s="3" t="s">
        <v>525</v>
      </c>
      <c r="D381" s="4">
        <v>1</v>
      </c>
      <c r="E381" s="5">
        <v>42279</v>
      </c>
      <c r="F381" s="6">
        <v>0.55971064814814808</v>
      </c>
      <c r="G381" s="7">
        <v>12.75</v>
      </c>
      <c r="H381" s="7">
        <f t="shared" si="5"/>
        <v>12.75</v>
      </c>
      <c r="I381" s="3" t="s">
        <v>45</v>
      </c>
      <c r="J381" s="3" t="s">
        <v>21</v>
      </c>
      <c r="K381" s="3" t="s">
        <v>140</v>
      </c>
      <c r="L381" s="3" t="s">
        <v>141</v>
      </c>
    </row>
    <row r="382" spans="1:12" x14ac:dyDescent="0.35">
      <c r="A382" s="3">
        <v>381</v>
      </c>
      <c r="B382" s="3" t="s">
        <v>39</v>
      </c>
      <c r="C382" s="3" t="s">
        <v>526</v>
      </c>
      <c r="D382" s="4">
        <v>1</v>
      </c>
      <c r="E382" s="5">
        <v>42279</v>
      </c>
      <c r="F382" s="6">
        <v>0.79443287037037036</v>
      </c>
      <c r="G382" s="7">
        <v>15.25</v>
      </c>
      <c r="H382" s="7">
        <f t="shared" si="5"/>
        <v>15.25</v>
      </c>
      <c r="I382" s="3" t="s">
        <v>20</v>
      </c>
      <c r="J382" s="3" t="s">
        <v>15</v>
      </c>
      <c r="K382" s="3" t="s">
        <v>41</v>
      </c>
      <c r="L382" s="3" t="s">
        <v>42</v>
      </c>
    </row>
    <row r="383" spans="1:12" x14ac:dyDescent="0.35">
      <c r="A383" s="3">
        <v>382</v>
      </c>
      <c r="B383" s="3" t="s">
        <v>94</v>
      </c>
      <c r="C383" s="3" t="s">
        <v>527</v>
      </c>
      <c r="D383" s="4">
        <v>1</v>
      </c>
      <c r="E383" s="5">
        <v>42280</v>
      </c>
      <c r="F383" s="6">
        <v>0.67178240740740736</v>
      </c>
      <c r="G383" s="7">
        <v>9.75</v>
      </c>
      <c r="H383" s="7">
        <f t="shared" si="5"/>
        <v>9.75</v>
      </c>
      <c r="I383" s="3" t="s">
        <v>45</v>
      </c>
      <c r="J383" s="3" t="s">
        <v>15</v>
      </c>
      <c r="K383" s="3" t="s">
        <v>41</v>
      </c>
      <c r="L383" s="3" t="s">
        <v>42</v>
      </c>
    </row>
    <row r="384" spans="1:12" x14ac:dyDescent="0.35">
      <c r="A384" s="3">
        <v>383</v>
      </c>
      <c r="B384" s="3" t="s">
        <v>12</v>
      </c>
      <c r="C384" s="3" t="s">
        <v>528</v>
      </c>
      <c r="D384" s="4">
        <v>1</v>
      </c>
      <c r="E384" s="5">
        <v>42280</v>
      </c>
      <c r="F384" s="6">
        <v>0.7650231481481482</v>
      </c>
      <c r="G384" s="7">
        <v>16</v>
      </c>
      <c r="H384" s="7">
        <f t="shared" si="5"/>
        <v>16</v>
      </c>
      <c r="I384" s="3" t="s">
        <v>14</v>
      </c>
      <c r="J384" s="3" t="s">
        <v>15</v>
      </c>
      <c r="K384" s="3" t="s">
        <v>16</v>
      </c>
      <c r="L384" s="3" t="s">
        <v>17</v>
      </c>
    </row>
    <row r="385" spans="1:12" x14ac:dyDescent="0.35">
      <c r="A385" s="3">
        <v>384</v>
      </c>
      <c r="B385" s="3" t="s">
        <v>58</v>
      </c>
      <c r="C385" s="3" t="s">
        <v>529</v>
      </c>
      <c r="D385" s="4">
        <v>2</v>
      </c>
      <c r="E385" s="5">
        <v>42281</v>
      </c>
      <c r="F385" s="6">
        <v>0.58589120370370373</v>
      </c>
      <c r="G385" s="7">
        <v>17.95</v>
      </c>
      <c r="H385" s="7">
        <f t="shared" si="5"/>
        <v>35.9</v>
      </c>
      <c r="I385" s="3" t="s">
        <v>20</v>
      </c>
      <c r="J385" s="3" t="s">
        <v>26</v>
      </c>
      <c r="K385" s="3" t="s">
        <v>60</v>
      </c>
      <c r="L385" s="3" t="s">
        <v>61</v>
      </c>
    </row>
    <row r="386" spans="1:12" x14ac:dyDescent="0.35">
      <c r="A386" s="3">
        <v>385</v>
      </c>
      <c r="B386" s="3" t="s">
        <v>18</v>
      </c>
      <c r="C386" s="3" t="s">
        <v>530</v>
      </c>
      <c r="D386" s="4">
        <v>1</v>
      </c>
      <c r="E386" s="5">
        <v>42281</v>
      </c>
      <c r="F386" s="6">
        <v>0.59458333333333335</v>
      </c>
      <c r="G386" s="7">
        <v>20.75</v>
      </c>
      <c r="H386" s="7">
        <f t="shared" si="5"/>
        <v>20.75</v>
      </c>
      <c r="I386" s="3" t="s">
        <v>20</v>
      </c>
      <c r="J386" s="3" t="s">
        <v>21</v>
      </c>
      <c r="K386" s="3" t="s">
        <v>22</v>
      </c>
      <c r="L386" s="3" t="s">
        <v>23</v>
      </c>
    </row>
    <row r="387" spans="1:12" x14ac:dyDescent="0.35">
      <c r="A387" s="3">
        <v>386</v>
      </c>
      <c r="B387" s="3" t="s">
        <v>52</v>
      </c>
      <c r="C387" s="3" t="s">
        <v>531</v>
      </c>
      <c r="D387" s="4">
        <v>1</v>
      </c>
      <c r="E387" s="5">
        <v>42281</v>
      </c>
      <c r="F387" s="6">
        <v>0.74512731481481476</v>
      </c>
      <c r="G387" s="7">
        <v>12.5</v>
      </c>
      <c r="H387" s="7">
        <f t="shared" ref="H387:H450" si="6">G387*D387</f>
        <v>12.5</v>
      </c>
      <c r="I387" s="3" t="s">
        <v>45</v>
      </c>
      <c r="J387" s="3" t="s">
        <v>31</v>
      </c>
      <c r="K387" s="3" t="s">
        <v>32</v>
      </c>
      <c r="L387" s="3" t="s">
        <v>33</v>
      </c>
    </row>
    <row r="388" spans="1:12" x14ac:dyDescent="0.35">
      <c r="A388" s="3">
        <v>387</v>
      </c>
      <c r="B388" s="3" t="s">
        <v>212</v>
      </c>
      <c r="C388" s="3" t="s">
        <v>532</v>
      </c>
      <c r="D388" s="4">
        <v>1</v>
      </c>
      <c r="E388" s="5">
        <v>42284</v>
      </c>
      <c r="F388" s="6">
        <v>0.53081018518518519</v>
      </c>
      <c r="G388" s="7">
        <v>12.5</v>
      </c>
      <c r="H388" s="7">
        <f t="shared" si="6"/>
        <v>12.5</v>
      </c>
      <c r="I388" s="3" t="s">
        <v>45</v>
      </c>
      <c r="J388" s="3" t="s">
        <v>31</v>
      </c>
      <c r="K388" s="3" t="s">
        <v>50</v>
      </c>
      <c r="L388" s="3" t="s">
        <v>51</v>
      </c>
    </row>
    <row r="389" spans="1:12" x14ac:dyDescent="0.35">
      <c r="A389" s="3">
        <v>388</v>
      </c>
      <c r="B389" s="3" t="s">
        <v>203</v>
      </c>
      <c r="C389" s="3" t="s">
        <v>533</v>
      </c>
      <c r="D389" s="4">
        <v>1</v>
      </c>
      <c r="E389" s="5">
        <v>42285</v>
      </c>
      <c r="F389" s="6">
        <v>0.57097222222222221</v>
      </c>
      <c r="G389" s="7">
        <v>16.5</v>
      </c>
      <c r="H389" s="7">
        <f t="shared" si="6"/>
        <v>16.5</v>
      </c>
      <c r="I389" s="3" t="s">
        <v>14</v>
      </c>
      <c r="J389" s="3" t="s">
        <v>31</v>
      </c>
      <c r="K389" s="3" t="s">
        <v>68</v>
      </c>
      <c r="L389" s="3" t="s">
        <v>69</v>
      </c>
    </row>
    <row r="390" spans="1:12" x14ac:dyDescent="0.35">
      <c r="A390" s="3">
        <v>389</v>
      </c>
      <c r="B390" s="3" t="s">
        <v>162</v>
      </c>
      <c r="C390" s="3" t="s">
        <v>534</v>
      </c>
      <c r="D390" s="4">
        <v>1</v>
      </c>
      <c r="E390" s="5">
        <v>42285</v>
      </c>
      <c r="F390" s="6">
        <v>0.78057870370370364</v>
      </c>
      <c r="G390" s="7">
        <v>20.75</v>
      </c>
      <c r="H390" s="7">
        <f t="shared" si="6"/>
        <v>20.75</v>
      </c>
      <c r="I390" s="3" t="s">
        <v>20</v>
      </c>
      <c r="J390" s="3" t="s">
        <v>21</v>
      </c>
      <c r="K390" s="3" t="s">
        <v>92</v>
      </c>
      <c r="L390" s="3" t="s">
        <v>93</v>
      </c>
    </row>
    <row r="391" spans="1:12" x14ac:dyDescent="0.35">
      <c r="A391" s="3">
        <v>390</v>
      </c>
      <c r="B391" s="3" t="s">
        <v>292</v>
      </c>
      <c r="C391" s="3" t="s">
        <v>535</v>
      </c>
      <c r="D391" s="4">
        <v>1</v>
      </c>
      <c r="E391" s="5">
        <v>42286</v>
      </c>
      <c r="F391" s="6">
        <v>0.62358796296296293</v>
      </c>
      <c r="G391" s="7">
        <v>12.75</v>
      </c>
      <c r="H391" s="7">
        <f t="shared" si="6"/>
        <v>12.75</v>
      </c>
      <c r="I391" s="3" t="s">
        <v>45</v>
      </c>
      <c r="J391" s="3" t="s">
        <v>21</v>
      </c>
      <c r="K391" s="3" t="s">
        <v>22</v>
      </c>
      <c r="L391" s="3" t="s">
        <v>23</v>
      </c>
    </row>
    <row r="392" spans="1:12" x14ac:dyDescent="0.35">
      <c r="A392" s="3">
        <v>391</v>
      </c>
      <c r="B392" s="3" t="s">
        <v>178</v>
      </c>
      <c r="C392" s="3" t="s">
        <v>536</v>
      </c>
      <c r="D392" s="4">
        <v>1</v>
      </c>
      <c r="E392" s="5">
        <v>42286</v>
      </c>
      <c r="F392" s="6">
        <v>0.73450231481481476</v>
      </c>
      <c r="G392" s="7">
        <v>20.5</v>
      </c>
      <c r="H392" s="7">
        <f t="shared" si="6"/>
        <v>20.5</v>
      </c>
      <c r="I392" s="3" t="s">
        <v>20</v>
      </c>
      <c r="J392" s="3" t="s">
        <v>15</v>
      </c>
      <c r="K392" s="3" t="s">
        <v>180</v>
      </c>
      <c r="L392" s="3" t="s">
        <v>181</v>
      </c>
    </row>
    <row r="393" spans="1:12" x14ac:dyDescent="0.35">
      <c r="A393" s="3">
        <v>392</v>
      </c>
      <c r="B393" s="3" t="s">
        <v>111</v>
      </c>
      <c r="C393" s="3" t="s">
        <v>502</v>
      </c>
      <c r="D393" s="4">
        <v>1</v>
      </c>
      <c r="E393" s="5">
        <v>42287</v>
      </c>
      <c r="F393" s="6">
        <v>0.48413194444444446</v>
      </c>
      <c r="G393" s="7">
        <v>20.75</v>
      </c>
      <c r="H393" s="7">
        <f t="shared" si="6"/>
        <v>20.75</v>
      </c>
      <c r="I393" s="3" t="s">
        <v>20</v>
      </c>
      <c r="J393" s="3" t="s">
        <v>21</v>
      </c>
      <c r="K393" s="3" t="s">
        <v>81</v>
      </c>
      <c r="L393" s="3" t="s">
        <v>82</v>
      </c>
    </row>
    <row r="394" spans="1:12" x14ac:dyDescent="0.35">
      <c r="A394" s="3">
        <v>393</v>
      </c>
      <c r="B394" s="3" t="s">
        <v>307</v>
      </c>
      <c r="C394" s="3" t="s">
        <v>537</v>
      </c>
      <c r="D394" s="4">
        <v>1</v>
      </c>
      <c r="E394" s="5">
        <v>42290</v>
      </c>
      <c r="F394" s="6">
        <v>0.47657407407407404</v>
      </c>
      <c r="G394" s="7">
        <v>20.25</v>
      </c>
      <c r="H394" s="7">
        <f t="shared" si="6"/>
        <v>20.25</v>
      </c>
      <c r="I394" s="3" t="s">
        <v>20</v>
      </c>
      <c r="J394" s="3" t="s">
        <v>26</v>
      </c>
      <c r="K394" s="3" t="s">
        <v>266</v>
      </c>
      <c r="L394" s="3" t="s">
        <v>267</v>
      </c>
    </row>
    <row r="395" spans="1:12" x14ac:dyDescent="0.35">
      <c r="A395" s="3">
        <v>394</v>
      </c>
      <c r="B395" s="3" t="s">
        <v>153</v>
      </c>
      <c r="C395" s="3" t="s">
        <v>538</v>
      </c>
      <c r="D395" s="4">
        <v>1</v>
      </c>
      <c r="E395" s="5">
        <v>42290</v>
      </c>
      <c r="F395" s="6">
        <v>0.64156250000000004</v>
      </c>
      <c r="G395" s="7">
        <v>16.25</v>
      </c>
      <c r="H395" s="7">
        <f t="shared" si="6"/>
        <v>16.25</v>
      </c>
      <c r="I395" s="3" t="s">
        <v>14</v>
      </c>
      <c r="J395" s="3" t="s">
        <v>31</v>
      </c>
      <c r="K395" s="3" t="s">
        <v>76</v>
      </c>
      <c r="L395" s="3" t="s">
        <v>77</v>
      </c>
    </row>
    <row r="396" spans="1:12" x14ac:dyDescent="0.35">
      <c r="A396" s="3">
        <v>395</v>
      </c>
      <c r="B396" s="3" t="s">
        <v>195</v>
      </c>
      <c r="C396" s="3" t="s">
        <v>539</v>
      </c>
      <c r="D396" s="4">
        <v>1</v>
      </c>
      <c r="E396" s="5">
        <v>42291</v>
      </c>
      <c r="F396" s="6">
        <v>0.51223379629629628</v>
      </c>
      <c r="G396" s="7">
        <v>12</v>
      </c>
      <c r="H396" s="7">
        <f t="shared" si="6"/>
        <v>12</v>
      </c>
      <c r="I396" s="3" t="s">
        <v>45</v>
      </c>
      <c r="J396" s="3" t="s">
        <v>26</v>
      </c>
      <c r="K396" s="3" t="s">
        <v>197</v>
      </c>
      <c r="L396" s="3" t="s">
        <v>198</v>
      </c>
    </row>
    <row r="397" spans="1:12" x14ac:dyDescent="0.35">
      <c r="A397" s="3">
        <v>396</v>
      </c>
      <c r="B397" s="3" t="s">
        <v>296</v>
      </c>
      <c r="C397" s="3" t="s">
        <v>540</v>
      </c>
      <c r="D397" s="4">
        <v>1</v>
      </c>
      <c r="E397" s="5">
        <v>42291</v>
      </c>
      <c r="F397" s="6">
        <v>0.75633101851851858</v>
      </c>
      <c r="G397" s="7">
        <v>16.5</v>
      </c>
      <c r="H397" s="7">
        <f t="shared" si="6"/>
        <v>16.5</v>
      </c>
      <c r="I397" s="3" t="s">
        <v>14</v>
      </c>
      <c r="J397" s="3" t="s">
        <v>31</v>
      </c>
      <c r="K397" s="3" t="s">
        <v>32</v>
      </c>
      <c r="L397" s="3" t="s">
        <v>33</v>
      </c>
    </row>
    <row r="398" spans="1:12" x14ac:dyDescent="0.35">
      <c r="A398" s="3">
        <v>397</v>
      </c>
      <c r="B398" s="3" t="s">
        <v>29</v>
      </c>
      <c r="C398" s="3" t="s">
        <v>541</v>
      </c>
      <c r="D398" s="4">
        <v>1</v>
      </c>
      <c r="E398" s="5">
        <v>42292</v>
      </c>
      <c r="F398" s="6">
        <v>0.55797453703703703</v>
      </c>
      <c r="G398" s="7">
        <v>20.75</v>
      </c>
      <c r="H398" s="7">
        <f t="shared" si="6"/>
        <v>20.75</v>
      </c>
      <c r="I398" s="3" t="s">
        <v>20</v>
      </c>
      <c r="J398" s="3" t="s">
        <v>31</v>
      </c>
      <c r="K398" s="3" t="s">
        <v>32</v>
      </c>
      <c r="L398" s="3" t="s">
        <v>33</v>
      </c>
    </row>
    <row r="399" spans="1:12" x14ac:dyDescent="0.35">
      <c r="A399" s="3">
        <v>398</v>
      </c>
      <c r="B399" s="3" t="s">
        <v>162</v>
      </c>
      <c r="C399" s="3" t="s">
        <v>542</v>
      </c>
      <c r="D399" s="4">
        <v>1</v>
      </c>
      <c r="E399" s="5">
        <v>42292</v>
      </c>
      <c r="F399" s="6">
        <v>0.55797453703703703</v>
      </c>
      <c r="G399" s="7">
        <v>20.75</v>
      </c>
      <c r="H399" s="7">
        <f t="shared" si="6"/>
        <v>20.75</v>
      </c>
      <c r="I399" s="3" t="s">
        <v>20</v>
      </c>
      <c r="J399" s="3" t="s">
        <v>21</v>
      </c>
      <c r="K399" s="3" t="s">
        <v>92</v>
      </c>
      <c r="L399" s="3" t="s">
        <v>93</v>
      </c>
    </row>
    <row r="400" spans="1:12" x14ac:dyDescent="0.35">
      <c r="A400" s="3">
        <v>399</v>
      </c>
      <c r="B400" s="3" t="s">
        <v>58</v>
      </c>
      <c r="C400" s="3" t="s">
        <v>543</v>
      </c>
      <c r="D400" s="4">
        <v>1</v>
      </c>
      <c r="E400" s="5">
        <v>42292</v>
      </c>
      <c r="F400" s="6">
        <v>0.84521990740740749</v>
      </c>
      <c r="G400" s="7">
        <v>17.95</v>
      </c>
      <c r="H400" s="7">
        <f t="shared" si="6"/>
        <v>17.95</v>
      </c>
      <c r="I400" s="3" t="s">
        <v>20</v>
      </c>
      <c r="J400" s="3" t="s">
        <v>26</v>
      </c>
      <c r="K400" s="3" t="s">
        <v>60</v>
      </c>
      <c r="L400" s="3" t="s">
        <v>61</v>
      </c>
    </row>
    <row r="401" spans="1:12" x14ac:dyDescent="0.35">
      <c r="A401" s="3">
        <v>400</v>
      </c>
      <c r="B401" s="3" t="s">
        <v>135</v>
      </c>
      <c r="C401" s="3" t="s">
        <v>544</v>
      </c>
      <c r="D401" s="4">
        <v>1</v>
      </c>
      <c r="E401" s="5">
        <v>42293</v>
      </c>
      <c r="F401" s="6">
        <v>0.81879629629629624</v>
      </c>
      <c r="G401" s="7">
        <v>20.5</v>
      </c>
      <c r="H401" s="7">
        <f t="shared" si="6"/>
        <v>20.5</v>
      </c>
      <c r="I401" s="3" t="s">
        <v>20</v>
      </c>
      <c r="J401" s="3" t="s">
        <v>15</v>
      </c>
      <c r="K401" s="3" t="s">
        <v>37</v>
      </c>
      <c r="L401" s="3" t="s">
        <v>38</v>
      </c>
    </row>
    <row r="402" spans="1:12" x14ac:dyDescent="0.35">
      <c r="A402" s="3">
        <v>401</v>
      </c>
      <c r="B402" s="3" t="s">
        <v>426</v>
      </c>
      <c r="C402" s="3" t="s">
        <v>545</v>
      </c>
      <c r="D402" s="4">
        <v>1</v>
      </c>
      <c r="E402" s="5">
        <v>42294</v>
      </c>
      <c r="F402" s="6">
        <v>0.5470370370370371</v>
      </c>
      <c r="G402" s="7">
        <v>20.5</v>
      </c>
      <c r="H402" s="7">
        <f t="shared" si="6"/>
        <v>20.5</v>
      </c>
      <c r="I402" s="3" t="s">
        <v>20</v>
      </c>
      <c r="J402" s="3" t="s">
        <v>15</v>
      </c>
      <c r="K402" s="3" t="s">
        <v>184</v>
      </c>
      <c r="L402" s="3" t="s">
        <v>185</v>
      </c>
    </row>
    <row r="403" spans="1:12" x14ac:dyDescent="0.35">
      <c r="A403" s="3">
        <v>402</v>
      </c>
      <c r="B403" s="3" t="s">
        <v>175</v>
      </c>
      <c r="C403" s="3" t="s">
        <v>546</v>
      </c>
      <c r="D403" s="4">
        <v>1</v>
      </c>
      <c r="E403" s="5">
        <v>42295</v>
      </c>
      <c r="F403" s="6">
        <v>0.843287037037037</v>
      </c>
      <c r="G403" s="7">
        <v>12</v>
      </c>
      <c r="H403" s="7">
        <f t="shared" si="6"/>
        <v>12</v>
      </c>
      <c r="I403" s="3" t="s">
        <v>45</v>
      </c>
      <c r="J403" s="3" t="s">
        <v>15</v>
      </c>
      <c r="K403" s="3" t="s">
        <v>16</v>
      </c>
      <c r="L403" s="3" t="s">
        <v>17</v>
      </c>
    </row>
    <row r="404" spans="1:12" x14ac:dyDescent="0.35">
      <c r="A404" s="3">
        <v>403</v>
      </c>
      <c r="B404" s="3" t="s">
        <v>270</v>
      </c>
      <c r="C404" s="3" t="s">
        <v>547</v>
      </c>
      <c r="D404" s="4">
        <v>1</v>
      </c>
      <c r="E404" s="5">
        <v>42297</v>
      </c>
      <c r="F404" s="6">
        <v>0.56393518518518515</v>
      </c>
      <c r="G404" s="7">
        <v>12.5</v>
      </c>
      <c r="H404" s="7">
        <f t="shared" si="6"/>
        <v>12.5</v>
      </c>
      <c r="I404" s="3" t="s">
        <v>14</v>
      </c>
      <c r="J404" s="3" t="s">
        <v>15</v>
      </c>
      <c r="K404" s="3" t="s">
        <v>41</v>
      </c>
      <c r="L404" s="3" t="s">
        <v>42</v>
      </c>
    </row>
    <row r="405" spans="1:12" x14ac:dyDescent="0.35">
      <c r="A405" s="3">
        <v>404</v>
      </c>
      <c r="B405" s="3" t="s">
        <v>270</v>
      </c>
      <c r="C405" s="3" t="s">
        <v>548</v>
      </c>
      <c r="D405" s="4">
        <v>1</v>
      </c>
      <c r="E405" s="5">
        <v>42297</v>
      </c>
      <c r="F405" s="6">
        <v>0.73241898148148143</v>
      </c>
      <c r="G405" s="7">
        <v>12.5</v>
      </c>
      <c r="H405" s="7">
        <f t="shared" si="6"/>
        <v>12.5</v>
      </c>
      <c r="I405" s="3" t="s">
        <v>14</v>
      </c>
      <c r="J405" s="3" t="s">
        <v>15</v>
      </c>
      <c r="K405" s="3" t="s">
        <v>41</v>
      </c>
      <c r="L405" s="3" t="s">
        <v>42</v>
      </c>
    </row>
    <row r="406" spans="1:12" x14ac:dyDescent="0.35">
      <c r="A406" s="3">
        <v>405</v>
      </c>
      <c r="B406" s="3" t="s">
        <v>164</v>
      </c>
      <c r="C406" s="3" t="s">
        <v>410</v>
      </c>
      <c r="D406" s="4">
        <v>1</v>
      </c>
      <c r="E406" s="5">
        <v>42298</v>
      </c>
      <c r="F406" s="6">
        <v>0.56388888888888888</v>
      </c>
      <c r="G406" s="7">
        <v>12.5</v>
      </c>
      <c r="H406" s="7">
        <f t="shared" si="6"/>
        <v>12.5</v>
      </c>
      <c r="I406" s="3" t="s">
        <v>45</v>
      </c>
      <c r="J406" s="3" t="s">
        <v>26</v>
      </c>
      <c r="K406" s="3" t="s">
        <v>166</v>
      </c>
      <c r="L406" s="3" t="s">
        <v>167</v>
      </c>
    </row>
    <row r="407" spans="1:12" x14ac:dyDescent="0.35">
      <c r="A407" s="3">
        <v>406</v>
      </c>
      <c r="B407" s="3" t="s">
        <v>439</v>
      </c>
      <c r="C407" s="3" t="s">
        <v>549</v>
      </c>
      <c r="D407" s="4">
        <v>1</v>
      </c>
      <c r="E407" s="5">
        <v>42299</v>
      </c>
      <c r="F407" s="6">
        <v>0.77165509259259257</v>
      </c>
      <c r="G407" s="7">
        <v>12</v>
      </c>
      <c r="H407" s="7">
        <f t="shared" si="6"/>
        <v>12</v>
      </c>
      <c r="I407" s="3" t="s">
        <v>45</v>
      </c>
      <c r="J407" s="3" t="s">
        <v>15</v>
      </c>
      <c r="K407" s="3" t="s">
        <v>180</v>
      </c>
      <c r="L407" s="3" t="s">
        <v>181</v>
      </c>
    </row>
    <row r="408" spans="1:12" x14ac:dyDescent="0.35">
      <c r="A408" s="3">
        <v>407</v>
      </c>
      <c r="B408" s="3" t="s">
        <v>498</v>
      </c>
      <c r="C408" s="3" t="s">
        <v>550</v>
      </c>
      <c r="D408" s="4">
        <v>1</v>
      </c>
      <c r="E408" s="5">
        <v>42299</v>
      </c>
      <c r="F408" s="6">
        <v>0.84052083333333327</v>
      </c>
      <c r="G408" s="7">
        <v>12.75</v>
      </c>
      <c r="H408" s="7">
        <f t="shared" si="6"/>
        <v>12.75</v>
      </c>
      <c r="I408" s="3" t="s">
        <v>45</v>
      </c>
      <c r="J408" s="3" t="s">
        <v>21</v>
      </c>
      <c r="K408" s="3" t="s">
        <v>140</v>
      </c>
      <c r="L408" s="3" t="s">
        <v>141</v>
      </c>
    </row>
    <row r="409" spans="1:12" x14ac:dyDescent="0.35">
      <c r="A409" s="3">
        <v>408</v>
      </c>
      <c r="B409" s="3" t="s">
        <v>101</v>
      </c>
      <c r="C409" s="3" t="s">
        <v>551</v>
      </c>
      <c r="D409" s="4">
        <v>1</v>
      </c>
      <c r="E409" s="5">
        <v>42300</v>
      </c>
      <c r="F409" s="6">
        <v>0.81395833333333334</v>
      </c>
      <c r="G409" s="7">
        <v>20.75</v>
      </c>
      <c r="H409" s="7">
        <f t="shared" si="6"/>
        <v>20.75</v>
      </c>
      <c r="I409" s="3" t="s">
        <v>20</v>
      </c>
      <c r="J409" s="3" t="s">
        <v>21</v>
      </c>
      <c r="K409" s="3" t="s">
        <v>103</v>
      </c>
      <c r="L409" s="3" t="s">
        <v>104</v>
      </c>
    </row>
    <row r="410" spans="1:12" x14ac:dyDescent="0.35">
      <c r="A410" s="3">
        <v>409</v>
      </c>
      <c r="B410" s="3" t="s">
        <v>175</v>
      </c>
      <c r="C410" s="3" t="s">
        <v>552</v>
      </c>
      <c r="D410" s="4">
        <v>1</v>
      </c>
      <c r="E410" s="5">
        <v>42300</v>
      </c>
      <c r="F410" s="6">
        <v>0.93402777777777779</v>
      </c>
      <c r="G410" s="7">
        <v>12</v>
      </c>
      <c r="H410" s="7">
        <f t="shared" si="6"/>
        <v>12</v>
      </c>
      <c r="I410" s="3" t="s">
        <v>45</v>
      </c>
      <c r="J410" s="3" t="s">
        <v>15</v>
      </c>
      <c r="K410" s="3" t="s">
        <v>16</v>
      </c>
      <c r="L410" s="3" t="s">
        <v>17</v>
      </c>
    </row>
    <row r="411" spans="1:12" x14ac:dyDescent="0.35">
      <c r="A411" s="3">
        <v>410</v>
      </c>
      <c r="B411" s="3" t="s">
        <v>124</v>
      </c>
      <c r="C411" s="3" t="s">
        <v>553</v>
      </c>
      <c r="D411" s="4">
        <v>1</v>
      </c>
      <c r="E411" s="5">
        <v>42301</v>
      </c>
      <c r="F411" s="6">
        <v>0.79050925925925919</v>
      </c>
      <c r="G411" s="7">
        <v>12.5</v>
      </c>
      <c r="H411" s="7">
        <f t="shared" si="6"/>
        <v>12.5</v>
      </c>
      <c r="I411" s="3" t="s">
        <v>45</v>
      </c>
      <c r="J411" s="3" t="s">
        <v>31</v>
      </c>
      <c r="K411" s="3" t="s">
        <v>88</v>
      </c>
      <c r="L411" s="3" t="s">
        <v>89</v>
      </c>
    </row>
    <row r="412" spans="1:12" x14ac:dyDescent="0.35">
      <c r="A412" s="3">
        <v>411</v>
      </c>
      <c r="B412" s="3" t="s">
        <v>244</v>
      </c>
      <c r="C412" s="3" t="s">
        <v>554</v>
      </c>
      <c r="D412" s="4">
        <v>1</v>
      </c>
      <c r="E412" s="5">
        <v>42301</v>
      </c>
      <c r="F412" s="6">
        <v>0.83138888888888884</v>
      </c>
      <c r="G412" s="7">
        <v>20.75</v>
      </c>
      <c r="H412" s="7">
        <f t="shared" si="6"/>
        <v>20.75</v>
      </c>
      <c r="I412" s="3" t="s">
        <v>20</v>
      </c>
      <c r="J412" s="3" t="s">
        <v>21</v>
      </c>
      <c r="K412" s="3" t="s">
        <v>131</v>
      </c>
      <c r="L412" s="3" t="s">
        <v>132</v>
      </c>
    </row>
    <row r="413" spans="1:12" x14ac:dyDescent="0.35">
      <c r="A413" s="3">
        <v>412</v>
      </c>
      <c r="B413" s="3" t="s">
        <v>79</v>
      </c>
      <c r="C413" s="3" t="s">
        <v>555</v>
      </c>
      <c r="D413" s="4">
        <v>1</v>
      </c>
      <c r="E413" s="5">
        <v>42302</v>
      </c>
      <c r="F413" s="6">
        <v>0.69579861111111108</v>
      </c>
      <c r="G413" s="7">
        <v>12.75</v>
      </c>
      <c r="H413" s="7">
        <f t="shared" si="6"/>
        <v>12.75</v>
      </c>
      <c r="I413" s="3" t="s">
        <v>45</v>
      </c>
      <c r="J413" s="3" t="s">
        <v>21</v>
      </c>
      <c r="K413" s="3" t="s">
        <v>81</v>
      </c>
      <c r="L413" s="3" t="s">
        <v>82</v>
      </c>
    </row>
    <row r="414" spans="1:12" x14ac:dyDescent="0.35">
      <c r="A414" s="3">
        <v>413</v>
      </c>
      <c r="B414" s="3" t="s">
        <v>471</v>
      </c>
      <c r="C414" s="3" t="s">
        <v>556</v>
      </c>
      <c r="D414" s="4">
        <v>1</v>
      </c>
      <c r="E414" s="5">
        <v>42302</v>
      </c>
      <c r="F414" s="6">
        <v>0.7028240740740741</v>
      </c>
      <c r="G414" s="7">
        <v>12.5</v>
      </c>
      <c r="H414" s="7">
        <f t="shared" si="6"/>
        <v>12.5</v>
      </c>
      <c r="I414" s="3" t="s">
        <v>45</v>
      </c>
      <c r="J414" s="3" t="s">
        <v>31</v>
      </c>
      <c r="K414" s="3" t="s">
        <v>328</v>
      </c>
      <c r="L414" s="3" t="s">
        <v>329</v>
      </c>
    </row>
    <row r="415" spans="1:12" x14ac:dyDescent="0.35">
      <c r="A415" s="3">
        <v>414</v>
      </c>
      <c r="B415" s="3" t="s">
        <v>298</v>
      </c>
      <c r="C415" s="3" t="s">
        <v>80</v>
      </c>
      <c r="D415" s="4">
        <v>1</v>
      </c>
      <c r="E415" s="5">
        <v>42304</v>
      </c>
      <c r="F415" s="6">
        <v>0.90797453703703701</v>
      </c>
      <c r="G415" s="7">
        <v>16</v>
      </c>
      <c r="H415" s="7">
        <f t="shared" si="6"/>
        <v>16</v>
      </c>
      <c r="I415" s="3" t="s">
        <v>14</v>
      </c>
      <c r="J415" s="3" t="s">
        <v>26</v>
      </c>
      <c r="K415" s="3" t="s">
        <v>98</v>
      </c>
      <c r="L415" s="3" t="s">
        <v>99</v>
      </c>
    </row>
    <row r="416" spans="1:12" x14ac:dyDescent="0.35">
      <c r="A416" s="3">
        <v>415</v>
      </c>
      <c r="B416" s="3" t="s">
        <v>366</v>
      </c>
      <c r="C416" s="3" t="s">
        <v>557</v>
      </c>
      <c r="D416" s="4">
        <v>1</v>
      </c>
      <c r="E416" s="5">
        <v>42305</v>
      </c>
      <c r="F416" s="6">
        <v>0.64322916666666663</v>
      </c>
      <c r="G416" s="7">
        <v>14.5</v>
      </c>
      <c r="H416" s="7">
        <f t="shared" si="6"/>
        <v>14.5</v>
      </c>
      <c r="I416" s="3" t="s">
        <v>14</v>
      </c>
      <c r="J416" s="3" t="s">
        <v>15</v>
      </c>
      <c r="K416" s="3" t="s">
        <v>368</v>
      </c>
      <c r="L416" s="3" t="s">
        <v>369</v>
      </c>
    </row>
    <row r="417" spans="1:12" x14ac:dyDescent="0.35">
      <c r="A417" s="3">
        <v>416</v>
      </c>
      <c r="B417" s="3" t="s">
        <v>175</v>
      </c>
      <c r="C417" s="3" t="s">
        <v>558</v>
      </c>
      <c r="D417" s="4">
        <v>1</v>
      </c>
      <c r="E417" s="5">
        <v>42306</v>
      </c>
      <c r="F417" s="6">
        <v>0.75767361111111109</v>
      </c>
      <c r="G417" s="7">
        <v>12</v>
      </c>
      <c r="H417" s="7">
        <f t="shared" si="6"/>
        <v>12</v>
      </c>
      <c r="I417" s="3" t="s">
        <v>45</v>
      </c>
      <c r="J417" s="3" t="s">
        <v>15</v>
      </c>
      <c r="K417" s="3" t="s">
        <v>16</v>
      </c>
      <c r="L417" s="3" t="s">
        <v>17</v>
      </c>
    </row>
    <row r="418" spans="1:12" x14ac:dyDescent="0.35">
      <c r="A418" s="3">
        <v>417</v>
      </c>
      <c r="B418" s="3" t="s">
        <v>58</v>
      </c>
      <c r="C418" s="3" t="s">
        <v>559</v>
      </c>
      <c r="D418" s="4">
        <v>1</v>
      </c>
      <c r="E418" s="5">
        <v>42307</v>
      </c>
      <c r="F418" s="6">
        <v>0.51033564814814814</v>
      </c>
      <c r="G418" s="7">
        <v>17.95</v>
      </c>
      <c r="H418" s="7">
        <f t="shared" si="6"/>
        <v>17.95</v>
      </c>
      <c r="I418" s="3" t="s">
        <v>20</v>
      </c>
      <c r="J418" s="3" t="s">
        <v>26</v>
      </c>
      <c r="K418" s="3" t="s">
        <v>60</v>
      </c>
      <c r="L418" s="3" t="s">
        <v>61</v>
      </c>
    </row>
    <row r="419" spans="1:12" x14ac:dyDescent="0.35">
      <c r="A419" s="3">
        <v>418</v>
      </c>
      <c r="B419" s="3" t="s">
        <v>560</v>
      </c>
      <c r="C419" s="3" t="s">
        <v>561</v>
      </c>
      <c r="D419" s="4">
        <v>1</v>
      </c>
      <c r="E419" s="5">
        <v>42307</v>
      </c>
      <c r="F419" s="6">
        <v>0.57500000000000007</v>
      </c>
      <c r="G419" s="7">
        <v>17.5</v>
      </c>
      <c r="H419" s="7">
        <f t="shared" si="6"/>
        <v>17.5</v>
      </c>
      <c r="I419" s="3" t="s">
        <v>20</v>
      </c>
      <c r="J419" s="3" t="s">
        <v>15</v>
      </c>
      <c r="K419" s="3" t="s">
        <v>368</v>
      </c>
      <c r="L419" s="3" t="s">
        <v>369</v>
      </c>
    </row>
    <row r="420" spans="1:12" x14ac:dyDescent="0.35">
      <c r="A420" s="3">
        <v>419</v>
      </c>
      <c r="B420" s="3" t="s">
        <v>411</v>
      </c>
      <c r="C420" s="3" t="s">
        <v>562</v>
      </c>
      <c r="D420" s="4">
        <v>1</v>
      </c>
      <c r="E420" s="5">
        <v>42307</v>
      </c>
      <c r="F420" s="6">
        <v>0.90435185185185185</v>
      </c>
      <c r="G420" s="7">
        <v>11</v>
      </c>
      <c r="H420" s="7">
        <f t="shared" si="6"/>
        <v>11</v>
      </c>
      <c r="I420" s="3" t="s">
        <v>45</v>
      </c>
      <c r="J420" s="3" t="s">
        <v>15</v>
      </c>
      <c r="K420" s="3" t="s">
        <v>368</v>
      </c>
      <c r="L420" s="3" t="s">
        <v>369</v>
      </c>
    </row>
    <row r="421" spans="1:12" x14ac:dyDescent="0.35">
      <c r="A421" s="3">
        <v>420</v>
      </c>
      <c r="B421" s="3" t="s">
        <v>270</v>
      </c>
      <c r="C421" s="3" t="s">
        <v>257</v>
      </c>
      <c r="D421" s="4">
        <v>1</v>
      </c>
      <c r="E421" s="5">
        <v>42309</v>
      </c>
      <c r="F421" s="6">
        <v>0.6980439814814815</v>
      </c>
      <c r="G421" s="7">
        <v>12.5</v>
      </c>
      <c r="H421" s="7">
        <f t="shared" si="6"/>
        <v>12.5</v>
      </c>
      <c r="I421" s="3" t="s">
        <v>14</v>
      </c>
      <c r="J421" s="3" t="s">
        <v>15</v>
      </c>
      <c r="K421" s="3" t="s">
        <v>41</v>
      </c>
      <c r="L421" s="3" t="s">
        <v>42</v>
      </c>
    </row>
    <row r="422" spans="1:12" x14ac:dyDescent="0.35">
      <c r="A422" s="3">
        <v>421</v>
      </c>
      <c r="B422" s="3" t="s">
        <v>405</v>
      </c>
      <c r="C422" s="3" t="s">
        <v>563</v>
      </c>
      <c r="D422" s="4">
        <v>1</v>
      </c>
      <c r="E422" s="5">
        <v>42310</v>
      </c>
      <c r="F422" s="6">
        <v>0.7540162037037037</v>
      </c>
      <c r="G422" s="7">
        <v>20.5</v>
      </c>
      <c r="H422" s="7">
        <f t="shared" si="6"/>
        <v>20.5</v>
      </c>
      <c r="I422" s="3" t="s">
        <v>20</v>
      </c>
      <c r="J422" s="3" t="s">
        <v>15</v>
      </c>
      <c r="K422" s="3" t="s">
        <v>16</v>
      </c>
      <c r="L422" s="3" t="s">
        <v>17</v>
      </c>
    </row>
    <row r="423" spans="1:12" x14ac:dyDescent="0.35">
      <c r="A423" s="3">
        <v>422</v>
      </c>
      <c r="B423" s="3" t="s">
        <v>101</v>
      </c>
      <c r="C423" s="3" t="s">
        <v>564</v>
      </c>
      <c r="D423" s="4">
        <v>1</v>
      </c>
      <c r="E423" s="5">
        <v>42311</v>
      </c>
      <c r="F423" s="6">
        <v>0.61768518518518511</v>
      </c>
      <c r="G423" s="7">
        <v>20.75</v>
      </c>
      <c r="H423" s="7">
        <f t="shared" si="6"/>
        <v>20.75</v>
      </c>
      <c r="I423" s="3" t="s">
        <v>20</v>
      </c>
      <c r="J423" s="3" t="s">
        <v>21</v>
      </c>
      <c r="K423" s="3" t="s">
        <v>103</v>
      </c>
      <c r="L423" s="3" t="s">
        <v>104</v>
      </c>
    </row>
    <row r="424" spans="1:12" x14ac:dyDescent="0.35">
      <c r="A424" s="3">
        <v>423</v>
      </c>
      <c r="B424" s="3" t="s">
        <v>129</v>
      </c>
      <c r="C424" s="3" t="s">
        <v>565</v>
      </c>
      <c r="D424" s="4">
        <v>1</v>
      </c>
      <c r="E424" s="5">
        <v>42314</v>
      </c>
      <c r="F424" s="6">
        <v>0.51906249999999998</v>
      </c>
      <c r="G424" s="7">
        <v>16.75</v>
      </c>
      <c r="H424" s="7">
        <f t="shared" si="6"/>
        <v>16.75</v>
      </c>
      <c r="I424" s="3" t="s">
        <v>14</v>
      </c>
      <c r="J424" s="3" t="s">
        <v>21</v>
      </c>
      <c r="K424" s="3" t="s">
        <v>131</v>
      </c>
      <c r="L424" s="3" t="s">
        <v>132</v>
      </c>
    </row>
    <row r="425" spans="1:12" x14ac:dyDescent="0.35">
      <c r="A425" s="3">
        <v>424</v>
      </c>
      <c r="B425" s="3" t="s">
        <v>566</v>
      </c>
      <c r="C425" s="3" t="s">
        <v>567</v>
      </c>
      <c r="D425" s="4">
        <v>1</v>
      </c>
      <c r="E425" s="5">
        <v>42314</v>
      </c>
      <c r="F425" s="6">
        <v>0.68043981481481486</v>
      </c>
      <c r="G425" s="7">
        <v>12.75</v>
      </c>
      <c r="H425" s="7">
        <f t="shared" si="6"/>
        <v>12.75</v>
      </c>
      <c r="I425" s="3" t="s">
        <v>45</v>
      </c>
      <c r="J425" s="3" t="s">
        <v>21</v>
      </c>
      <c r="K425" s="3" t="s">
        <v>131</v>
      </c>
      <c r="L425" s="3" t="s">
        <v>132</v>
      </c>
    </row>
    <row r="426" spans="1:12" x14ac:dyDescent="0.35">
      <c r="A426" s="3">
        <v>425</v>
      </c>
      <c r="B426" s="3" t="s">
        <v>101</v>
      </c>
      <c r="C426" s="3" t="s">
        <v>568</v>
      </c>
      <c r="D426" s="4">
        <v>1</v>
      </c>
      <c r="E426" s="5">
        <v>42314</v>
      </c>
      <c r="F426" s="6">
        <v>0.73512731481481486</v>
      </c>
      <c r="G426" s="7">
        <v>20.75</v>
      </c>
      <c r="H426" s="7">
        <f t="shared" si="6"/>
        <v>20.75</v>
      </c>
      <c r="I426" s="3" t="s">
        <v>20</v>
      </c>
      <c r="J426" s="3" t="s">
        <v>21</v>
      </c>
      <c r="K426" s="3" t="s">
        <v>103</v>
      </c>
      <c r="L426" s="3" t="s">
        <v>104</v>
      </c>
    </row>
    <row r="427" spans="1:12" x14ac:dyDescent="0.35">
      <c r="A427" s="3">
        <v>426</v>
      </c>
      <c r="B427" s="3" t="s">
        <v>426</v>
      </c>
      <c r="C427" s="3" t="s">
        <v>569</v>
      </c>
      <c r="D427" s="4">
        <v>1</v>
      </c>
      <c r="E427" s="5">
        <v>42315</v>
      </c>
      <c r="F427" s="6">
        <v>0.69965277777777779</v>
      </c>
      <c r="G427" s="7">
        <v>20.5</v>
      </c>
      <c r="H427" s="7">
        <f t="shared" si="6"/>
        <v>20.5</v>
      </c>
      <c r="I427" s="3" t="s">
        <v>20</v>
      </c>
      <c r="J427" s="3" t="s">
        <v>15</v>
      </c>
      <c r="K427" s="3" t="s">
        <v>184</v>
      </c>
      <c r="L427" s="3" t="s">
        <v>185</v>
      </c>
    </row>
    <row r="428" spans="1:12" x14ac:dyDescent="0.35">
      <c r="A428" s="3">
        <v>427</v>
      </c>
      <c r="B428" s="3" t="s">
        <v>96</v>
      </c>
      <c r="C428" s="3" t="s">
        <v>570</v>
      </c>
      <c r="D428" s="4">
        <v>1</v>
      </c>
      <c r="E428" s="5">
        <v>42315</v>
      </c>
      <c r="F428" s="6">
        <v>0.7640162037037036</v>
      </c>
      <c r="G428" s="7">
        <v>20.25</v>
      </c>
      <c r="H428" s="7">
        <f t="shared" si="6"/>
        <v>20.25</v>
      </c>
      <c r="I428" s="3" t="s">
        <v>20</v>
      </c>
      <c r="J428" s="3" t="s">
        <v>26</v>
      </c>
      <c r="K428" s="3" t="s">
        <v>98</v>
      </c>
      <c r="L428" s="3" t="s">
        <v>99</v>
      </c>
    </row>
    <row r="429" spans="1:12" x14ac:dyDescent="0.35">
      <c r="A429" s="3">
        <v>428</v>
      </c>
      <c r="B429" s="3" t="s">
        <v>307</v>
      </c>
      <c r="C429" s="3" t="s">
        <v>571</v>
      </c>
      <c r="D429" s="4">
        <v>1</v>
      </c>
      <c r="E429" s="5">
        <v>42315</v>
      </c>
      <c r="F429" s="6">
        <v>0.7640162037037036</v>
      </c>
      <c r="G429" s="7">
        <v>20.25</v>
      </c>
      <c r="H429" s="7">
        <f t="shared" si="6"/>
        <v>20.25</v>
      </c>
      <c r="I429" s="3" t="s">
        <v>20</v>
      </c>
      <c r="J429" s="3" t="s">
        <v>26</v>
      </c>
      <c r="K429" s="3" t="s">
        <v>266</v>
      </c>
      <c r="L429" s="3" t="s">
        <v>267</v>
      </c>
    </row>
    <row r="430" spans="1:12" x14ac:dyDescent="0.35">
      <c r="A430" s="3">
        <v>429</v>
      </c>
      <c r="B430" s="3" t="s">
        <v>58</v>
      </c>
      <c r="C430" s="3" t="s">
        <v>572</v>
      </c>
      <c r="D430" s="4">
        <v>1</v>
      </c>
      <c r="E430" s="5">
        <v>42315</v>
      </c>
      <c r="F430" s="6">
        <v>0.86462962962962964</v>
      </c>
      <c r="G430" s="7">
        <v>17.95</v>
      </c>
      <c r="H430" s="7">
        <f t="shared" si="6"/>
        <v>17.95</v>
      </c>
      <c r="I430" s="3" t="s">
        <v>20</v>
      </c>
      <c r="J430" s="3" t="s">
        <v>26</v>
      </c>
      <c r="K430" s="3" t="s">
        <v>60</v>
      </c>
      <c r="L430" s="3" t="s">
        <v>61</v>
      </c>
    </row>
    <row r="431" spans="1:12" x14ac:dyDescent="0.35">
      <c r="A431" s="3">
        <v>430</v>
      </c>
      <c r="B431" s="3" t="s">
        <v>201</v>
      </c>
      <c r="C431" s="3" t="s">
        <v>573</v>
      </c>
      <c r="D431" s="4">
        <v>1</v>
      </c>
      <c r="E431" s="5">
        <v>42316</v>
      </c>
      <c r="F431" s="6">
        <v>0.65164351851851854</v>
      </c>
      <c r="G431" s="7">
        <v>16.5</v>
      </c>
      <c r="H431" s="7">
        <f t="shared" si="6"/>
        <v>16.5</v>
      </c>
      <c r="I431" s="3" t="s">
        <v>14</v>
      </c>
      <c r="J431" s="3" t="s">
        <v>31</v>
      </c>
      <c r="K431" s="3" t="s">
        <v>50</v>
      </c>
      <c r="L431" s="3" t="s">
        <v>51</v>
      </c>
    </row>
    <row r="432" spans="1:12" x14ac:dyDescent="0.35">
      <c r="A432" s="3">
        <v>431</v>
      </c>
      <c r="B432" s="3" t="s">
        <v>96</v>
      </c>
      <c r="C432" s="3" t="s">
        <v>379</v>
      </c>
      <c r="D432" s="4">
        <v>1</v>
      </c>
      <c r="E432" s="5">
        <v>42316</v>
      </c>
      <c r="F432" s="6">
        <v>0.74883101851851863</v>
      </c>
      <c r="G432" s="7">
        <v>20.25</v>
      </c>
      <c r="H432" s="7">
        <f t="shared" si="6"/>
        <v>20.25</v>
      </c>
      <c r="I432" s="3" t="s">
        <v>20</v>
      </c>
      <c r="J432" s="3" t="s">
        <v>26</v>
      </c>
      <c r="K432" s="3" t="s">
        <v>98</v>
      </c>
      <c r="L432" s="3" t="s">
        <v>99</v>
      </c>
    </row>
    <row r="433" spans="1:12" x14ac:dyDescent="0.35">
      <c r="A433" s="3">
        <v>432</v>
      </c>
      <c r="B433" s="3" t="s">
        <v>74</v>
      </c>
      <c r="C433" s="3" t="s">
        <v>574</v>
      </c>
      <c r="D433" s="4">
        <v>1</v>
      </c>
      <c r="E433" s="5">
        <v>42316</v>
      </c>
      <c r="F433" s="6">
        <v>0.78918981481481476</v>
      </c>
      <c r="G433" s="7">
        <v>12.25</v>
      </c>
      <c r="H433" s="7">
        <f t="shared" si="6"/>
        <v>12.25</v>
      </c>
      <c r="I433" s="3" t="s">
        <v>45</v>
      </c>
      <c r="J433" s="3" t="s">
        <v>31</v>
      </c>
      <c r="K433" s="3" t="s">
        <v>76</v>
      </c>
      <c r="L433" s="3" t="s">
        <v>77</v>
      </c>
    </row>
    <row r="434" spans="1:12" x14ac:dyDescent="0.35">
      <c r="A434" s="3">
        <v>433</v>
      </c>
      <c r="B434" s="3" t="s">
        <v>178</v>
      </c>
      <c r="C434" s="3" t="s">
        <v>575</v>
      </c>
      <c r="D434" s="4">
        <v>1</v>
      </c>
      <c r="E434" s="5">
        <v>42317</v>
      </c>
      <c r="F434" s="6">
        <v>0.75008101851851849</v>
      </c>
      <c r="G434" s="7">
        <v>20.5</v>
      </c>
      <c r="H434" s="7">
        <f t="shared" si="6"/>
        <v>20.5</v>
      </c>
      <c r="I434" s="3" t="s">
        <v>20</v>
      </c>
      <c r="J434" s="3" t="s">
        <v>15</v>
      </c>
      <c r="K434" s="3" t="s">
        <v>180</v>
      </c>
      <c r="L434" s="3" t="s">
        <v>181</v>
      </c>
    </row>
    <row r="435" spans="1:12" x14ac:dyDescent="0.35">
      <c r="A435" s="3">
        <v>434</v>
      </c>
      <c r="B435" s="3" t="s">
        <v>115</v>
      </c>
      <c r="C435" s="3" t="s">
        <v>576</v>
      </c>
      <c r="D435" s="4">
        <v>1</v>
      </c>
      <c r="E435" s="5">
        <v>42318</v>
      </c>
      <c r="F435" s="6">
        <v>0.63598379629629631</v>
      </c>
      <c r="G435" s="7">
        <v>12.5</v>
      </c>
      <c r="H435" s="7">
        <f t="shared" si="6"/>
        <v>12.5</v>
      </c>
      <c r="I435" s="3" t="s">
        <v>45</v>
      </c>
      <c r="J435" s="3" t="s">
        <v>31</v>
      </c>
      <c r="K435" s="3" t="s">
        <v>68</v>
      </c>
      <c r="L435" s="3" t="s">
        <v>69</v>
      </c>
    </row>
    <row r="436" spans="1:12" x14ac:dyDescent="0.35">
      <c r="A436" s="3">
        <v>435</v>
      </c>
      <c r="B436" s="3" t="s">
        <v>577</v>
      </c>
      <c r="C436" s="3" t="s">
        <v>427</v>
      </c>
      <c r="D436" s="4">
        <v>1</v>
      </c>
      <c r="E436" s="5">
        <v>42320</v>
      </c>
      <c r="F436" s="6">
        <v>0.68638888888888883</v>
      </c>
      <c r="G436" s="7">
        <v>16.5</v>
      </c>
      <c r="H436" s="7">
        <f t="shared" si="6"/>
        <v>16.5</v>
      </c>
      <c r="I436" s="3" t="s">
        <v>14</v>
      </c>
      <c r="J436" s="3" t="s">
        <v>31</v>
      </c>
      <c r="K436" s="3" t="s">
        <v>328</v>
      </c>
      <c r="L436" s="3" t="s">
        <v>329</v>
      </c>
    </row>
    <row r="437" spans="1:12" x14ac:dyDescent="0.35">
      <c r="A437" s="3">
        <v>436</v>
      </c>
      <c r="B437" s="3" t="s">
        <v>238</v>
      </c>
      <c r="C437" s="3" t="s">
        <v>578</v>
      </c>
      <c r="D437" s="4">
        <v>1</v>
      </c>
      <c r="E437" s="5">
        <v>42321</v>
      </c>
      <c r="F437" s="6">
        <v>0.7871527777777777</v>
      </c>
      <c r="G437" s="7">
        <v>20.25</v>
      </c>
      <c r="H437" s="7">
        <f t="shared" si="6"/>
        <v>20.25</v>
      </c>
      <c r="I437" s="3" t="s">
        <v>20</v>
      </c>
      <c r="J437" s="3" t="s">
        <v>26</v>
      </c>
      <c r="K437" s="3" t="s">
        <v>56</v>
      </c>
      <c r="L437" s="3" t="s">
        <v>57</v>
      </c>
    </row>
    <row r="438" spans="1:12" x14ac:dyDescent="0.35">
      <c r="A438" s="3">
        <v>437</v>
      </c>
      <c r="B438" s="3" t="s">
        <v>254</v>
      </c>
      <c r="C438" s="3" t="s">
        <v>579</v>
      </c>
      <c r="D438" s="4">
        <v>1</v>
      </c>
      <c r="E438" s="5">
        <v>42322</v>
      </c>
      <c r="F438" s="6">
        <v>0.61541666666666661</v>
      </c>
      <c r="G438" s="7">
        <v>16</v>
      </c>
      <c r="H438" s="7">
        <f t="shared" si="6"/>
        <v>16</v>
      </c>
      <c r="I438" s="3" t="s">
        <v>14</v>
      </c>
      <c r="J438" s="3" t="s">
        <v>15</v>
      </c>
      <c r="K438" s="3" t="s">
        <v>180</v>
      </c>
      <c r="L438" s="3" t="s">
        <v>181</v>
      </c>
    </row>
    <row r="439" spans="1:12" x14ac:dyDescent="0.35">
      <c r="A439" s="3">
        <v>438</v>
      </c>
      <c r="B439" s="3" t="s">
        <v>94</v>
      </c>
      <c r="C439" s="3" t="s">
        <v>580</v>
      </c>
      <c r="D439" s="4">
        <v>1</v>
      </c>
      <c r="E439" s="5">
        <v>42323</v>
      </c>
      <c r="F439" s="6">
        <v>0.50931712962962961</v>
      </c>
      <c r="G439" s="7">
        <v>9.75</v>
      </c>
      <c r="H439" s="7">
        <f t="shared" si="6"/>
        <v>9.75</v>
      </c>
      <c r="I439" s="3" t="s">
        <v>45</v>
      </c>
      <c r="J439" s="3" t="s">
        <v>15</v>
      </c>
      <c r="K439" s="3" t="s">
        <v>41</v>
      </c>
      <c r="L439" s="3" t="s">
        <v>42</v>
      </c>
    </row>
    <row r="440" spans="1:12" x14ac:dyDescent="0.35">
      <c r="A440" s="3">
        <v>439</v>
      </c>
      <c r="B440" s="3" t="s">
        <v>175</v>
      </c>
      <c r="C440" s="3" t="s">
        <v>581</v>
      </c>
      <c r="D440" s="4">
        <v>1</v>
      </c>
      <c r="E440" s="5">
        <v>42324</v>
      </c>
      <c r="F440" s="6">
        <v>0.74782407407407403</v>
      </c>
      <c r="G440" s="7">
        <v>12</v>
      </c>
      <c r="H440" s="7">
        <f t="shared" si="6"/>
        <v>12</v>
      </c>
      <c r="I440" s="3" t="s">
        <v>45</v>
      </c>
      <c r="J440" s="3" t="s">
        <v>15</v>
      </c>
      <c r="K440" s="3" t="s">
        <v>16</v>
      </c>
      <c r="L440" s="3" t="s">
        <v>17</v>
      </c>
    </row>
    <row r="441" spans="1:12" x14ac:dyDescent="0.35">
      <c r="A441" s="3">
        <v>440</v>
      </c>
      <c r="B441" s="3" t="s">
        <v>238</v>
      </c>
      <c r="C441" s="3" t="s">
        <v>582</v>
      </c>
      <c r="D441" s="4">
        <v>1</v>
      </c>
      <c r="E441" s="5">
        <v>42326</v>
      </c>
      <c r="F441" s="6">
        <v>0.84234953703703708</v>
      </c>
      <c r="G441" s="7">
        <v>20.25</v>
      </c>
      <c r="H441" s="7">
        <f t="shared" si="6"/>
        <v>20.25</v>
      </c>
      <c r="I441" s="3" t="s">
        <v>20</v>
      </c>
      <c r="J441" s="3" t="s">
        <v>26</v>
      </c>
      <c r="K441" s="3" t="s">
        <v>56</v>
      </c>
      <c r="L441" s="3" t="s">
        <v>57</v>
      </c>
    </row>
    <row r="442" spans="1:12" x14ac:dyDescent="0.35">
      <c r="A442" s="3">
        <v>441</v>
      </c>
      <c r="B442" s="3" t="s">
        <v>583</v>
      </c>
      <c r="C442" s="3" t="s">
        <v>584</v>
      </c>
      <c r="D442" s="4">
        <v>1</v>
      </c>
      <c r="E442" s="5">
        <v>42327</v>
      </c>
      <c r="F442" s="6">
        <v>0.74812499999999993</v>
      </c>
      <c r="G442" s="7">
        <v>16.75</v>
      </c>
      <c r="H442" s="7">
        <f t="shared" si="6"/>
        <v>16.75</v>
      </c>
      <c r="I442" s="3" t="s">
        <v>14</v>
      </c>
      <c r="J442" s="3" t="s">
        <v>21</v>
      </c>
      <c r="K442" s="3" t="s">
        <v>92</v>
      </c>
      <c r="L442" s="3" t="s">
        <v>93</v>
      </c>
    </row>
    <row r="443" spans="1:12" x14ac:dyDescent="0.35">
      <c r="A443" s="3">
        <v>442</v>
      </c>
      <c r="B443" s="3" t="s">
        <v>585</v>
      </c>
      <c r="C443" s="3" t="s">
        <v>586</v>
      </c>
      <c r="D443" s="4">
        <v>1</v>
      </c>
      <c r="E443" s="5">
        <v>42328</v>
      </c>
      <c r="F443" s="6">
        <v>0.48958333333333331</v>
      </c>
      <c r="G443" s="7">
        <v>23.65</v>
      </c>
      <c r="H443" s="7">
        <f t="shared" si="6"/>
        <v>23.65</v>
      </c>
      <c r="I443" s="3" t="s">
        <v>45</v>
      </c>
      <c r="J443" s="3" t="s">
        <v>31</v>
      </c>
      <c r="K443" s="3" t="s">
        <v>587</v>
      </c>
      <c r="L443" s="3" t="s">
        <v>588</v>
      </c>
    </row>
    <row r="444" spans="1:12" x14ac:dyDescent="0.35">
      <c r="A444" s="3">
        <v>443</v>
      </c>
      <c r="B444" s="3" t="s">
        <v>151</v>
      </c>
      <c r="C444" s="3" t="s">
        <v>589</v>
      </c>
      <c r="D444" s="4">
        <v>1</v>
      </c>
      <c r="E444" s="5">
        <v>42328</v>
      </c>
      <c r="F444" s="6">
        <v>0.7648611111111111</v>
      </c>
      <c r="G444" s="7">
        <v>20.75</v>
      </c>
      <c r="H444" s="7">
        <f t="shared" si="6"/>
        <v>20.75</v>
      </c>
      <c r="I444" s="3" t="s">
        <v>20</v>
      </c>
      <c r="J444" s="3" t="s">
        <v>31</v>
      </c>
      <c r="K444" s="3" t="s">
        <v>88</v>
      </c>
      <c r="L444" s="3" t="s">
        <v>89</v>
      </c>
    </row>
    <row r="445" spans="1:12" x14ac:dyDescent="0.35">
      <c r="A445" s="3">
        <v>444</v>
      </c>
      <c r="B445" s="3" t="s">
        <v>218</v>
      </c>
      <c r="C445" s="3" t="s">
        <v>590</v>
      </c>
      <c r="D445" s="4">
        <v>1</v>
      </c>
      <c r="E445" s="5">
        <v>42329</v>
      </c>
      <c r="F445" s="6">
        <v>0.7634143518518518</v>
      </c>
      <c r="G445" s="7">
        <v>16.75</v>
      </c>
      <c r="H445" s="7">
        <f t="shared" si="6"/>
        <v>16.75</v>
      </c>
      <c r="I445" s="3" t="s">
        <v>14</v>
      </c>
      <c r="J445" s="3" t="s">
        <v>21</v>
      </c>
      <c r="K445" s="3" t="s">
        <v>140</v>
      </c>
      <c r="L445" s="3" t="s">
        <v>141</v>
      </c>
    </row>
    <row r="446" spans="1:12" x14ac:dyDescent="0.35">
      <c r="A446" s="3">
        <v>445</v>
      </c>
      <c r="B446" s="3" t="s">
        <v>264</v>
      </c>
      <c r="C446" s="3" t="s">
        <v>225</v>
      </c>
      <c r="D446" s="4">
        <v>1</v>
      </c>
      <c r="E446" s="5">
        <v>42330</v>
      </c>
      <c r="F446" s="6">
        <v>0.51465277777777774</v>
      </c>
      <c r="G446" s="7">
        <v>12</v>
      </c>
      <c r="H446" s="7">
        <f t="shared" si="6"/>
        <v>12</v>
      </c>
      <c r="I446" s="3" t="s">
        <v>45</v>
      </c>
      <c r="J446" s="3" t="s">
        <v>26</v>
      </c>
      <c r="K446" s="3" t="s">
        <v>266</v>
      </c>
      <c r="L446" s="3" t="s">
        <v>267</v>
      </c>
    </row>
    <row r="447" spans="1:12" x14ac:dyDescent="0.35">
      <c r="A447" s="3">
        <v>446</v>
      </c>
      <c r="B447" s="3" t="s">
        <v>105</v>
      </c>
      <c r="C447" s="3" t="s">
        <v>591</v>
      </c>
      <c r="D447" s="4">
        <v>1</v>
      </c>
      <c r="E447" s="5">
        <v>42334</v>
      </c>
      <c r="F447" s="6">
        <v>0.4914930555555555</v>
      </c>
      <c r="G447" s="7">
        <v>16.5</v>
      </c>
      <c r="H447" s="7">
        <f t="shared" si="6"/>
        <v>16.5</v>
      </c>
      <c r="I447" s="3" t="s">
        <v>20</v>
      </c>
      <c r="J447" s="3" t="s">
        <v>15</v>
      </c>
      <c r="K447" s="3" t="s">
        <v>107</v>
      </c>
      <c r="L447" s="3" t="s">
        <v>108</v>
      </c>
    </row>
    <row r="448" spans="1:12" x14ac:dyDescent="0.35">
      <c r="A448" s="3">
        <v>447</v>
      </c>
      <c r="B448" s="3" t="s">
        <v>62</v>
      </c>
      <c r="C448" s="3" t="s">
        <v>592</v>
      </c>
      <c r="D448" s="4">
        <v>1</v>
      </c>
      <c r="E448" s="5">
        <v>42334</v>
      </c>
      <c r="F448" s="6">
        <v>0.80270833333333336</v>
      </c>
      <c r="G448" s="7">
        <v>16</v>
      </c>
      <c r="H448" s="7">
        <f t="shared" si="6"/>
        <v>16</v>
      </c>
      <c r="I448" s="3" t="s">
        <v>14</v>
      </c>
      <c r="J448" s="3" t="s">
        <v>15</v>
      </c>
      <c r="K448" s="3" t="s">
        <v>37</v>
      </c>
      <c r="L448" s="3" t="s">
        <v>38</v>
      </c>
    </row>
    <row r="449" spans="1:12" x14ac:dyDescent="0.35">
      <c r="A449" s="3">
        <v>448</v>
      </c>
      <c r="B449" s="3" t="s">
        <v>111</v>
      </c>
      <c r="C449" s="3" t="s">
        <v>593</v>
      </c>
      <c r="D449" s="4">
        <v>2</v>
      </c>
      <c r="E449" s="5">
        <v>42334</v>
      </c>
      <c r="F449" s="6">
        <v>0.80702546296296296</v>
      </c>
      <c r="G449" s="7">
        <v>20.75</v>
      </c>
      <c r="H449" s="7">
        <f t="shared" si="6"/>
        <v>41.5</v>
      </c>
      <c r="I449" s="3" t="s">
        <v>20</v>
      </c>
      <c r="J449" s="3" t="s">
        <v>21</v>
      </c>
      <c r="K449" s="3" t="s">
        <v>81</v>
      </c>
      <c r="L449" s="3" t="s">
        <v>82</v>
      </c>
    </row>
    <row r="450" spans="1:12" x14ac:dyDescent="0.35">
      <c r="A450" s="3">
        <v>449</v>
      </c>
      <c r="B450" s="3" t="s">
        <v>24</v>
      </c>
      <c r="C450" s="3" t="s">
        <v>594</v>
      </c>
      <c r="D450" s="4">
        <v>1</v>
      </c>
      <c r="E450" s="5">
        <v>42335</v>
      </c>
      <c r="F450" s="6">
        <v>0.79753472222222221</v>
      </c>
      <c r="G450" s="7">
        <v>18.5</v>
      </c>
      <c r="H450" s="7">
        <f t="shared" si="6"/>
        <v>18.5</v>
      </c>
      <c r="I450" s="3" t="s">
        <v>20</v>
      </c>
      <c r="J450" s="3" t="s">
        <v>26</v>
      </c>
      <c r="K450" s="3" t="s">
        <v>27</v>
      </c>
      <c r="L450" s="3" t="s">
        <v>28</v>
      </c>
    </row>
    <row r="451" spans="1:12" x14ac:dyDescent="0.35">
      <c r="A451" s="3">
        <v>450</v>
      </c>
      <c r="B451" s="3" t="s">
        <v>39</v>
      </c>
      <c r="C451" s="3" t="s">
        <v>595</v>
      </c>
      <c r="D451" s="4">
        <v>1</v>
      </c>
      <c r="E451" s="5">
        <v>42335</v>
      </c>
      <c r="F451" s="6">
        <v>0.89465277777777785</v>
      </c>
      <c r="G451" s="7">
        <v>15.25</v>
      </c>
      <c r="H451" s="7">
        <f t="shared" ref="H451:H500" si="7">G451*D451</f>
        <v>15.25</v>
      </c>
      <c r="I451" s="3" t="s">
        <v>20</v>
      </c>
      <c r="J451" s="3" t="s">
        <v>15</v>
      </c>
      <c r="K451" s="3" t="s">
        <v>41</v>
      </c>
      <c r="L451" s="3" t="s">
        <v>42</v>
      </c>
    </row>
    <row r="452" spans="1:12" x14ac:dyDescent="0.35">
      <c r="A452" s="3">
        <v>451</v>
      </c>
      <c r="B452" s="3" t="s">
        <v>164</v>
      </c>
      <c r="C452" s="3" t="s">
        <v>596</v>
      </c>
      <c r="D452" s="4">
        <v>1</v>
      </c>
      <c r="E452" s="5">
        <v>42335</v>
      </c>
      <c r="F452" s="6">
        <v>0.91780092592592588</v>
      </c>
      <c r="G452" s="7">
        <v>12.5</v>
      </c>
      <c r="H452" s="7">
        <f t="shared" si="7"/>
        <v>12.5</v>
      </c>
      <c r="I452" s="3" t="s">
        <v>45</v>
      </c>
      <c r="J452" s="3" t="s">
        <v>26</v>
      </c>
      <c r="K452" s="3" t="s">
        <v>166</v>
      </c>
      <c r="L452" s="3" t="s">
        <v>167</v>
      </c>
    </row>
    <row r="453" spans="1:12" x14ac:dyDescent="0.35">
      <c r="A453" s="3">
        <v>452</v>
      </c>
      <c r="B453" s="3" t="s">
        <v>126</v>
      </c>
      <c r="C453" s="3" t="s">
        <v>597</v>
      </c>
      <c r="D453" s="4">
        <v>1</v>
      </c>
      <c r="E453" s="5">
        <v>42337</v>
      </c>
      <c r="F453" s="6">
        <v>0.80800925925925926</v>
      </c>
      <c r="G453" s="7">
        <v>10.5</v>
      </c>
      <c r="H453" s="7">
        <f t="shared" si="7"/>
        <v>10.5</v>
      </c>
      <c r="I453" s="3" t="s">
        <v>45</v>
      </c>
      <c r="J453" s="3" t="s">
        <v>15</v>
      </c>
      <c r="K453" s="3" t="s">
        <v>107</v>
      </c>
      <c r="L453" s="3" t="s">
        <v>108</v>
      </c>
    </row>
    <row r="454" spans="1:12" x14ac:dyDescent="0.35">
      <c r="A454" s="3">
        <v>453</v>
      </c>
      <c r="B454" s="3" t="s">
        <v>256</v>
      </c>
      <c r="C454" s="3" t="s">
        <v>598</v>
      </c>
      <c r="D454" s="4">
        <v>1</v>
      </c>
      <c r="E454" s="5">
        <v>42338</v>
      </c>
      <c r="F454" s="6">
        <v>0.82307870370370362</v>
      </c>
      <c r="G454" s="7">
        <v>16.75</v>
      </c>
      <c r="H454" s="7">
        <f t="shared" si="7"/>
        <v>16.75</v>
      </c>
      <c r="I454" s="3" t="s">
        <v>14</v>
      </c>
      <c r="J454" s="3" t="s">
        <v>21</v>
      </c>
      <c r="K454" s="3" t="s">
        <v>22</v>
      </c>
      <c r="L454" s="3" t="s">
        <v>23</v>
      </c>
    </row>
    <row r="455" spans="1:12" x14ac:dyDescent="0.35">
      <c r="A455" s="3">
        <v>454</v>
      </c>
      <c r="B455" s="3" t="s">
        <v>480</v>
      </c>
      <c r="C455" s="3" t="s">
        <v>599</v>
      </c>
      <c r="D455" s="4">
        <v>1</v>
      </c>
      <c r="E455" s="5">
        <v>42339</v>
      </c>
      <c r="F455" s="6">
        <v>0.7099537037037037</v>
      </c>
      <c r="G455" s="7">
        <v>16</v>
      </c>
      <c r="H455" s="7">
        <f t="shared" si="7"/>
        <v>16</v>
      </c>
      <c r="I455" s="3" t="s">
        <v>14</v>
      </c>
      <c r="J455" s="3" t="s">
        <v>26</v>
      </c>
      <c r="K455" s="3" t="s">
        <v>266</v>
      </c>
      <c r="L455" s="3" t="s">
        <v>267</v>
      </c>
    </row>
    <row r="456" spans="1:12" x14ac:dyDescent="0.35">
      <c r="A456" s="3">
        <v>455</v>
      </c>
      <c r="B456" s="3" t="s">
        <v>70</v>
      </c>
      <c r="C456" s="3" t="s">
        <v>600</v>
      </c>
      <c r="D456" s="4">
        <v>1</v>
      </c>
      <c r="E456" s="5">
        <v>42339</v>
      </c>
      <c r="F456" s="6">
        <v>0.75253472222222229</v>
      </c>
      <c r="G456" s="7">
        <v>16.75</v>
      </c>
      <c r="H456" s="7">
        <f t="shared" si="7"/>
        <v>16.75</v>
      </c>
      <c r="I456" s="3" t="s">
        <v>14</v>
      </c>
      <c r="J456" s="3" t="s">
        <v>26</v>
      </c>
      <c r="K456" s="3" t="s">
        <v>72</v>
      </c>
      <c r="L456" s="3" t="s">
        <v>73</v>
      </c>
    </row>
    <row r="457" spans="1:12" x14ac:dyDescent="0.35">
      <c r="A457" s="3">
        <v>456</v>
      </c>
      <c r="B457" s="3" t="s">
        <v>282</v>
      </c>
      <c r="C457" s="3" t="s">
        <v>601</v>
      </c>
      <c r="D457" s="4">
        <v>1</v>
      </c>
      <c r="E457" s="5">
        <v>42340</v>
      </c>
      <c r="F457" s="6">
        <v>0.57491898148148146</v>
      </c>
      <c r="G457" s="7">
        <v>12</v>
      </c>
      <c r="H457" s="7">
        <f t="shared" si="7"/>
        <v>12</v>
      </c>
      <c r="I457" s="3" t="s">
        <v>45</v>
      </c>
      <c r="J457" s="3" t="s">
        <v>26</v>
      </c>
      <c r="K457" s="3" t="s">
        <v>98</v>
      </c>
      <c r="L457" s="3" t="s">
        <v>99</v>
      </c>
    </row>
    <row r="458" spans="1:12" x14ac:dyDescent="0.35">
      <c r="A458" s="3">
        <v>457</v>
      </c>
      <c r="B458" s="3" t="s">
        <v>215</v>
      </c>
      <c r="C458" s="3" t="s">
        <v>602</v>
      </c>
      <c r="D458" s="4">
        <v>1</v>
      </c>
      <c r="E458" s="5">
        <v>42341</v>
      </c>
      <c r="F458" s="6">
        <v>0.74268518518518523</v>
      </c>
      <c r="G458" s="7">
        <v>12</v>
      </c>
      <c r="H458" s="7">
        <f t="shared" si="7"/>
        <v>12</v>
      </c>
      <c r="I458" s="3" t="s">
        <v>45</v>
      </c>
      <c r="J458" s="3" t="s">
        <v>26</v>
      </c>
      <c r="K458" s="3" t="s">
        <v>122</v>
      </c>
      <c r="L458" s="3" t="s">
        <v>123</v>
      </c>
    </row>
    <row r="459" spans="1:12" x14ac:dyDescent="0.35">
      <c r="A459" s="3">
        <v>458</v>
      </c>
      <c r="B459" s="3" t="s">
        <v>24</v>
      </c>
      <c r="C459" s="3" t="s">
        <v>161</v>
      </c>
      <c r="D459" s="4">
        <v>1</v>
      </c>
      <c r="E459" s="5">
        <v>42342</v>
      </c>
      <c r="F459" s="6">
        <v>0.59606481481481477</v>
      </c>
      <c r="G459" s="7">
        <v>18.5</v>
      </c>
      <c r="H459" s="7">
        <f t="shared" si="7"/>
        <v>18.5</v>
      </c>
      <c r="I459" s="3" t="s">
        <v>20</v>
      </c>
      <c r="J459" s="3" t="s">
        <v>26</v>
      </c>
      <c r="K459" s="3" t="s">
        <v>27</v>
      </c>
      <c r="L459" s="3" t="s">
        <v>28</v>
      </c>
    </row>
    <row r="460" spans="1:12" x14ac:dyDescent="0.35">
      <c r="A460" s="3">
        <v>459</v>
      </c>
      <c r="B460" s="3" t="s">
        <v>170</v>
      </c>
      <c r="C460" s="3" t="s">
        <v>603</v>
      </c>
      <c r="D460" s="4">
        <v>1</v>
      </c>
      <c r="E460" s="5">
        <v>42342</v>
      </c>
      <c r="F460" s="6">
        <v>0.74815972222222227</v>
      </c>
      <c r="G460" s="7">
        <v>12</v>
      </c>
      <c r="H460" s="7">
        <f t="shared" si="7"/>
        <v>12</v>
      </c>
      <c r="I460" s="3" t="s">
        <v>45</v>
      </c>
      <c r="J460" s="3" t="s">
        <v>15</v>
      </c>
      <c r="K460" s="3" t="s">
        <v>172</v>
      </c>
      <c r="L460" s="3" t="s">
        <v>173</v>
      </c>
    </row>
    <row r="461" spans="1:12" x14ac:dyDescent="0.35">
      <c r="A461" s="3">
        <v>460</v>
      </c>
      <c r="B461" s="3" t="s">
        <v>498</v>
      </c>
      <c r="C461" s="3" t="s">
        <v>604</v>
      </c>
      <c r="D461" s="4">
        <v>1</v>
      </c>
      <c r="E461" s="5">
        <v>42342</v>
      </c>
      <c r="F461" s="6">
        <v>0.75042824074074066</v>
      </c>
      <c r="G461" s="7">
        <v>12.75</v>
      </c>
      <c r="H461" s="7">
        <f t="shared" si="7"/>
        <v>12.75</v>
      </c>
      <c r="I461" s="3" t="s">
        <v>45</v>
      </c>
      <c r="J461" s="3" t="s">
        <v>21</v>
      </c>
      <c r="K461" s="3" t="s">
        <v>140</v>
      </c>
      <c r="L461" s="3" t="s">
        <v>141</v>
      </c>
    </row>
    <row r="462" spans="1:12" x14ac:dyDescent="0.35">
      <c r="A462" s="3">
        <v>461</v>
      </c>
      <c r="B462" s="3" t="s">
        <v>307</v>
      </c>
      <c r="C462" s="3" t="s">
        <v>605</v>
      </c>
      <c r="D462" s="4">
        <v>1</v>
      </c>
      <c r="E462" s="5">
        <v>42345</v>
      </c>
      <c r="F462" s="6">
        <v>0.49642361111111111</v>
      </c>
      <c r="G462" s="7">
        <v>20.25</v>
      </c>
      <c r="H462" s="7">
        <f t="shared" si="7"/>
        <v>20.25</v>
      </c>
      <c r="I462" s="3" t="s">
        <v>20</v>
      </c>
      <c r="J462" s="3" t="s">
        <v>26</v>
      </c>
      <c r="K462" s="3" t="s">
        <v>266</v>
      </c>
      <c r="L462" s="3" t="s">
        <v>267</v>
      </c>
    </row>
    <row r="463" spans="1:12" x14ac:dyDescent="0.35">
      <c r="A463" s="3">
        <v>462</v>
      </c>
      <c r="B463" s="3" t="s">
        <v>229</v>
      </c>
      <c r="C463" s="3" t="s">
        <v>606</v>
      </c>
      <c r="D463" s="4">
        <v>1</v>
      </c>
      <c r="E463" s="5">
        <v>42345</v>
      </c>
      <c r="F463" s="6">
        <v>0.53708333333333336</v>
      </c>
      <c r="G463" s="7">
        <v>20.25</v>
      </c>
      <c r="H463" s="7">
        <f t="shared" si="7"/>
        <v>20.25</v>
      </c>
      <c r="I463" s="3" t="s">
        <v>20</v>
      </c>
      <c r="J463" s="3" t="s">
        <v>26</v>
      </c>
      <c r="K463" s="3" t="s">
        <v>122</v>
      </c>
      <c r="L463" s="3" t="s">
        <v>123</v>
      </c>
    </row>
    <row r="464" spans="1:12" x14ac:dyDescent="0.35">
      <c r="A464" s="3">
        <v>463</v>
      </c>
      <c r="B464" s="3" t="s">
        <v>79</v>
      </c>
      <c r="C464" s="3" t="s">
        <v>607</v>
      </c>
      <c r="D464" s="4">
        <v>1</v>
      </c>
      <c r="E464" s="5">
        <v>42346</v>
      </c>
      <c r="F464" s="6">
        <v>0.4794444444444444</v>
      </c>
      <c r="G464" s="7">
        <v>12.75</v>
      </c>
      <c r="H464" s="7">
        <f t="shared" si="7"/>
        <v>12.75</v>
      </c>
      <c r="I464" s="3" t="s">
        <v>45</v>
      </c>
      <c r="J464" s="3" t="s">
        <v>21</v>
      </c>
      <c r="K464" s="3" t="s">
        <v>81</v>
      </c>
      <c r="L464" s="3" t="s">
        <v>82</v>
      </c>
    </row>
    <row r="465" spans="1:12" x14ac:dyDescent="0.35">
      <c r="A465" s="3">
        <v>464</v>
      </c>
      <c r="B465" s="3" t="s">
        <v>133</v>
      </c>
      <c r="C465" s="3" t="s">
        <v>252</v>
      </c>
      <c r="D465" s="4">
        <v>1</v>
      </c>
      <c r="E465" s="5">
        <v>42346</v>
      </c>
      <c r="F465" s="6">
        <v>0.77260416666666665</v>
      </c>
      <c r="G465" s="7">
        <v>16.75</v>
      </c>
      <c r="H465" s="7">
        <f t="shared" si="7"/>
        <v>16.75</v>
      </c>
      <c r="I465" s="3" t="s">
        <v>14</v>
      </c>
      <c r="J465" s="3" t="s">
        <v>21</v>
      </c>
      <c r="K465" s="3" t="s">
        <v>103</v>
      </c>
      <c r="L465" s="3" t="s">
        <v>104</v>
      </c>
    </row>
    <row r="466" spans="1:12" x14ac:dyDescent="0.35">
      <c r="A466" s="3">
        <v>465</v>
      </c>
      <c r="B466" s="3" t="s">
        <v>178</v>
      </c>
      <c r="C466" s="3" t="s">
        <v>608</v>
      </c>
      <c r="D466" s="4">
        <v>1</v>
      </c>
      <c r="E466" s="5">
        <v>42347</v>
      </c>
      <c r="F466" s="6">
        <v>0.53754629629629636</v>
      </c>
      <c r="G466" s="7">
        <v>20.5</v>
      </c>
      <c r="H466" s="7">
        <f t="shared" si="7"/>
        <v>20.5</v>
      </c>
      <c r="I466" s="3" t="s">
        <v>20</v>
      </c>
      <c r="J466" s="3" t="s">
        <v>15</v>
      </c>
      <c r="K466" s="3" t="s">
        <v>180</v>
      </c>
      <c r="L466" s="3" t="s">
        <v>181</v>
      </c>
    </row>
    <row r="467" spans="1:12" x14ac:dyDescent="0.35">
      <c r="A467" s="3">
        <v>466</v>
      </c>
      <c r="B467" s="3" t="s">
        <v>66</v>
      </c>
      <c r="C467" s="3" t="s">
        <v>609</v>
      </c>
      <c r="D467" s="4">
        <v>1</v>
      </c>
      <c r="E467" s="5">
        <v>42347</v>
      </c>
      <c r="F467" s="6">
        <v>0.62232638888888892</v>
      </c>
      <c r="G467" s="7">
        <v>20.75</v>
      </c>
      <c r="H467" s="7">
        <f t="shared" si="7"/>
        <v>20.75</v>
      </c>
      <c r="I467" s="3" t="s">
        <v>20</v>
      </c>
      <c r="J467" s="3" t="s">
        <v>31</v>
      </c>
      <c r="K467" s="3" t="s">
        <v>68</v>
      </c>
      <c r="L467" s="3" t="s">
        <v>69</v>
      </c>
    </row>
    <row r="468" spans="1:12" x14ac:dyDescent="0.35">
      <c r="A468" s="3">
        <v>467</v>
      </c>
      <c r="B468" s="3" t="s">
        <v>175</v>
      </c>
      <c r="C468" s="3" t="s">
        <v>610</v>
      </c>
      <c r="D468" s="4">
        <v>1</v>
      </c>
      <c r="E468" s="5">
        <v>42348</v>
      </c>
      <c r="F468" s="6">
        <v>0.57810185185185181</v>
      </c>
      <c r="G468" s="7">
        <v>12</v>
      </c>
      <c r="H468" s="7">
        <f t="shared" si="7"/>
        <v>12</v>
      </c>
      <c r="I468" s="3" t="s">
        <v>45</v>
      </c>
      <c r="J468" s="3" t="s">
        <v>15</v>
      </c>
      <c r="K468" s="3" t="s">
        <v>16</v>
      </c>
      <c r="L468" s="3" t="s">
        <v>17</v>
      </c>
    </row>
    <row r="469" spans="1:12" x14ac:dyDescent="0.35">
      <c r="A469" s="3">
        <v>468</v>
      </c>
      <c r="B469" s="3" t="s">
        <v>439</v>
      </c>
      <c r="C469" s="3" t="s">
        <v>611</v>
      </c>
      <c r="D469" s="4">
        <v>1</v>
      </c>
      <c r="E469" s="5">
        <v>42348</v>
      </c>
      <c r="F469" s="6">
        <v>0.70990740740740732</v>
      </c>
      <c r="G469" s="7">
        <v>12</v>
      </c>
      <c r="H469" s="7">
        <f t="shared" si="7"/>
        <v>12</v>
      </c>
      <c r="I469" s="3" t="s">
        <v>45</v>
      </c>
      <c r="J469" s="3" t="s">
        <v>15</v>
      </c>
      <c r="K469" s="3" t="s">
        <v>180</v>
      </c>
      <c r="L469" s="3" t="s">
        <v>181</v>
      </c>
    </row>
    <row r="470" spans="1:12" x14ac:dyDescent="0.35">
      <c r="A470" s="3">
        <v>469</v>
      </c>
      <c r="B470" s="3" t="s">
        <v>133</v>
      </c>
      <c r="C470" s="3" t="s">
        <v>612</v>
      </c>
      <c r="D470" s="4">
        <v>1</v>
      </c>
      <c r="E470" s="5">
        <v>42348</v>
      </c>
      <c r="F470" s="6">
        <v>0.90827546296296291</v>
      </c>
      <c r="G470" s="7">
        <v>16.75</v>
      </c>
      <c r="H470" s="7">
        <f t="shared" si="7"/>
        <v>16.75</v>
      </c>
      <c r="I470" s="3" t="s">
        <v>14</v>
      </c>
      <c r="J470" s="3" t="s">
        <v>21</v>
      </c>
      <c r="K470" s="3" t="s">
        <v>103</v>
      </c>
      <c r="L470" s="3" t="s">
        <v>104</v>
      </c>
    </row>
    <row r="471" spans="1:12" x14ac:dyDescent="0.35">
      <c r="A471" s="3">
        <v>470</v>
      </c>
      <c r="B471" s="3" t="s">
        <v>126</v>
      </c>
      <c r="C471" s="3" t="s">
        <v>613</v>
      </c>
      <c r="D471" s="4">
        <v>1</v>
      </c>
      <c r="E471" s="5">
        <v>42349</v>
      </c>
      <c r="F471" s="6">
        <v>0.70634259259259258</v>
      </c>
      <c r="G471" s="7">
        <v>10.5</v>
      </c>
      <c r="H471" s="7">
        <f t="shared" si="7"/>
        <v>10.5</v>
      </c>
      <c r="I471" s="3" t="s">
        <v>45</v>
      </c>
      <c r="J471" s="3" t="s">
        <v>15</v>
      </c>
      <c r="K471" s="3" t="s">
        <v>107</v>
      </c>
      <c r="L471" s="3" t="s">
        <v>108</v>
      </c>
    </row>
    <row r="472" spans="1:12" x14ac:dyDescent="0.35">
      <c r="A472" s="3">
        <v>471</v>
      </c>
      <c r="B472" s="3" t="s">
        <v>144</v>
      </c>
      <c r="C472" s="3" t="s">
        <v>614</v>
      </c>
      <c r="D472" s="4">
        <v>1</v>
      </c>
      <c r="E472" s="5">
        <v>42349</v>
      </c>
      <c r="F472" s="6">
        <v>0.83082175925925927</v>
      </c>
      <c r="G472" s="7">
        <v>20.25</v>
      </c>
      <c r="H472" s="7">
        <f t="shared" si="7"/>
        <v>20.25</v>
      </c>
      <c r="I472" s="3" t="s">
        <v>20</v>
      </c>
      <c r="J472" s="3" t="s">
        <v>31</v>
      </c>
      <c r="K472" s="3" t="s">
        <v>146</v>
      </c>
      <c r="L472" s="3" t="s">
        <v>147</v>
      </c>
    </row>
    <row r="473" spans="1:12" x14ac:dyDescent="0.35">
      <c r="A473" s="3">
        <v>472</v>
      </c>
      <c r="B473" s="3" t="s">
        <v>411</v>
      </c>
      <c r="C473" s="3" t="s">
        <v>304</v>
      </c>
      <c r="D473" s="4">
        <v>1</v>
      </c>
      <c r="E473" s="5">
        <v>42350</v>
      </c>
      <c r="F473" s="6">
        <v>0.75635416666666666</v>
      </c>
      <c r="G473" s="7">
        <v>11</v>
      </c>
      <c r="H473" s="7">
        <f t="shared" si="7"/>
        <v>11</v>
      </c>
      <c r="I473" s="3" t="s">
        <v>45</v>
      </c>
      <c r="J473" s="3" t="s">
        <v>15</v>
      </c>
      <c r="K473" s="3" t="s">
        <v>368</v>
      </c>
      <c r="L473" s="3" t="s">
        <v>369</v>
      </c>
    </row>
    <row r="474" spans="1:12" x14ac:dyDescent="0.35">
      <c r="A474" s="3">
        <v>473</v>
      </c>
      <c r="B474" s="3" t="s">
        <v>96</v>
      </c>
      <c r="C474" s="3" t="s">
        <v>615</v>
      </c>
      <c r="D474" s="4">
        <v>1</v>
      </c>
      <c r="E474" s="5">
        <v>42351</v>
      </c>
      <c r="F474" s="6">
        <v>0.59924768518518523</v>
      </c>
      <c r="G474" s="7">
        <v>20.25</v>
      </c>
      <c r="H474" s="7">
        <f t="shared" si="7"/>
        <v>20.25</v>
      </c>
      <c r="I474" s="3" t="s">
        <v>20</v>
      </c>
      <c r="J474" s="3" t="s">
        <v>26</v>
      </c>
      <c r="K474" s="3" t="s">
        <v>98</v>
      </c>
      <c r="L474" s="3" t="s">
        <v>99</v>
      </c>
    </row>
    <row r="475" spans="1:12" x14ac:dyDescent="0.35">
      <c r="A475" s="3">
        <v>474</v>
      </c>
      <c r="B475" s="3" t="s">
        <v>471</v>
      </c>
      <c r="C475" s="3" t="s">
        <v>616</v>
      </c>
      <c r="D475" s="4">
        <v>1</v>
      </c>
      <c r="E475" s="5">
        <v>42351</v>
      </c>
      <c r="F475" s="6">
        <v>0.59924768518518523</v>
      </c>
      <c r="G475" s="7">
        <v>12.5</v>
      </c>
      <c r="H475" s="7">
        <f t="shared" si="7"/>
        <v>12.5</v>
      </c>
      <c r="I475" s="3" t="s">
        <v>45</v>
      </c>
      <c r="J475" s="3" t="s">
        <v>31</v>
      </c>
      <c r="K475" s="3" t="s">
        <v>328</v>
      </c>
      <c r="L475" s="3" t="s">
        <v>329</v>
      </c>
    </row>
    <row r="476" spans="1:12" x14ac:dyDescent="0.35">
      <c r="A476" s="3">
        <v>475</v>
      </c>
      <c r="B476" s="3" t="s">
        <v>70</v>
      </c>
      <c r="C476" s="3" t="s">
        <v>220</v>
      </c>
      <c r="D476" s="4">
        <v>1</v>
      </c>
      <c r="E476" s="5">
        <v>42351</v>
      </c>
      <c r="F476" s="6">
        <v>0.81287037037037047</v>
      </c>
      <c r="G476" s="7">
        <v>16.75</v>
      </c>
      <c r="H476" s="7">
        <f t="shared" si="7"/>
        <v>16.75</v>
      </c>
      <c r="I476" s="3" t="s">
        <v>14</v>
      </c>
      <c r="J476" s="3" t="s">
        <v>26</v>
      </c>
      <c r="K476" s="3" t="s">
        <v>72</v>
      </c>
      <c r="L476" s="3" t="s">
        <v>73</v>
      </c>
    </row>
    <row r="477" spans="1:12" x14ac:dyDescent="0.35">
      <c r="A477" s="3">
        <v>476</v>
      </c>
      <c r="B477" s="3" t="s">
        <v>86</v>
      </c>
      <c r="C477" s="3" t="s">
        <v>617</v>
      </c>
      <c r="D477" s="4">
        <v>1</v>
      </c>
      <c r="E477" s="5">
        <v>42352</v>
      </c>
      <c r="F477" s="6">
        <v>0.6988657407407407</v>
      </c>
      <c r="G477" s="7">
        <v>16.5</v>
      </c>
      <c r="H477" s="7">
        <f t="shared" si="7"/>
        <v>16.5</v>
      </c>
      <c r="I477" s="3" t="s">
        <v>14</v>
      </c>
      <c r="J477" s="3" t="s">
        <v>31</v>
      </c>
      <c r="K477" s="3" t="s">
        <v>88</v>
      </c>
      <c r="L477" s="3" t="s">
        <v>89</v>
      </c>
    </row>
    <row r="478" spans="1:12" x14ac:dyDescent="0.35">
      <c r="A478" s="3">
        <v>477</v>
      </c>
      <c r="B478" s="3" t="s">
        <v>70</v>
      </c>
      <c r="C478" s="3" t="s">
        <v>618</v>
      </c>
      <c r="D478" s="4">
        <v>1</v>
      </c>
      <c r="E478" s="5">
        <v>42352</v>
      </c>
      <c r="F478" s="6">
        <v>0.71475694444444438</v>
      </c>
      <c r="G478" s="7">
        <v>16.75</v>
      </c>
      <c r="H478" s="7">
        <f t="shared" si="7"/>
        <v>16.75</v>
      </c>
      <c r="I478" s="3" t="s">
        <v>14</v>
      </c>
      <c r="J478" s="3" t="s">
        <v>26</v>
      </c>
      <c r="K478" s="3" t="s">
        <v>72</v>
      </c>
      <c r="L478" s="3" t="s">
        <v>73</v>
      </c>
    </row>
    <row r="479" spans="1:12" x14ac:dyDescent="0.35">
      <c r="A479" s="3">
        <v>478</v>
      </c>
      <c r="B479" s="3" t="s">
        <v>585</v>
      </c>
      <c r="C479" s="3" t="s">
        <v>619</v>
      </c>
      <c r="D479" s="4">
        <v>1</v>
      </c>
      <c r="E479" s="5">
        <v>42353</v>
      </c>
      <c r="F479" s="6">
        <v>0.77405092592592595</v>
      </c>
      <c r="G479" s="7">
        <v>23.65</v>
      </c>
      <c r="H479" s="7">
        <f t="shared" si="7"/>
        <v>23.65</v>
      </c>
      <c r="I479" s="3" t="s">
        <v>45</v>
      </c>
      <c r="J479" s="3" t="s">
        <v>31</v>
      </c>
      <c r="K479" s="3" t="s">
        <v>587</v>
      </c>
      <c r="L479" s="3" t="s">
        <v>588</v>
      </c>
    </row>
    <row r="480" spans="1:12" x14ac:dyDescent="0.35">
      <c r="A480" s="3">
        <v>479</v>
      </c>
      <c r="B480" s="3" t="s">
        <v>234</v>
      </c>
      <c r="C480" s="3" t="s">
        <v>620</v>
      </c>
      <c r="D480" s="4">
        <v>1</v>
      </c>
      <c r="E480" s="5">
        <v>42354</v>
      </c>
      <c r="F480" s="6">
        <v>0.6690625</v>
      </c>
      <c r="G480" s="7">
        <v>16</v>
      </c>
      <c r="H480" s="7">
        <f t="shared" si="7"/>
        <v>16</v>
      </c>
      <c r="I480" s="3" t="s">
        <v>14</v>
      </c>
      <c r="J480" s="3" t="s">
        <v>26</v>
      </c>
      <c r="K480" s="3" t="s">
        <v>197</v>
      </c>
      <c r="L480" s="3" t="s">
        <v>198</v>
      </c>
    </row>
    <row r="481" spans="1:12" x14ac:dyDescent="0.35">
      <c r="A481" s="3">
        <v>480</v>
      </c>
      <c r="B481" s="3" t="s">
        <v>66</v>
      </c>
      <c r="C481" s="3" t="s">
        <v>621</v>
      </c>
      <c r="D481" s="4">
        <v>1</v>
      </c>
      <c r="E481" s="5">
        <v>42354</v>
      </c>
      <c r="F481" s="6">
        <v>0.80075231481481479</v>
      </c>
      <c r="G481" s="7">
        <v>20.75</v>
      </c>
      <c r="H481" s="7">
        <f t="shared" si="7"/>
        <v>20.75</v>
      </c>
      <c r="I481" s="3" t="s">
        <v>20</v>
      </c>
      <c r="J481" s="3" t="s">
        <v>31</v>
      </c>
      <c r="K481" s="3" t="s">
        <v>68</v>
      </c>
      <c r="L481" s="3" t="s">
        <v>69</v>
      </c>
    </row>
    <row r="482" spans="1:12" x14ac:dyDescent="0.35">
      <c r="A482" s="3">
        <v>481</v>
      </c>
      <c r="B482" s="3" t="s">
        <v>29</v>
      </c>
      <c r="C482" s="3" t="s">
        <v>622</v>
      </c>
      <c r="D482" s="4">
        <v>1</v>
      </c>
      <c r="E482" s="5">
        <v>42355</v>
      </c>
      <c r="F482" s="6">
        <v>0.57424768518518521</v>
      </c>
      <c r="G482" s="7">
        <v>20.75</v>
      </c>
      <c r="H482" s="7">
        <f t="shared" si="7"/>
        <v>20.75</v>
      </c>
      <c r="I482" s="3" t="s">
        <v>20</v>
      </c>
      <c r="J482" s="3" t="s">
        <v>31</v>
      </c>
      <c r="K482" s="3" t="s">
        <v>32</v>
      </c>
      <c r="L482" s="3" t="s">
        <v>33</v>
      </c>
    </row>
    <row r="483" spans="1:12" x14ac:dyDescent="0.35">
      <c r="A483" s="3">
        <v>482</v>
      </c>
      <c r="B483" s="3" t="s">
        <v>170</v>
      </c>
      <c r="C483" s="3" t="s">
        <v>623</v>
      </c>
      <c r="D483" s="4">
        <v>1</v>
      </c>
      <c r="E483" s="5">
        <v>42356</v>
      </c>
      <c r="F483" s="6">
        <v>0.49459490740740741</v>
      </c>
      <c r="G483" s="7">
        <v>12</v>
      </c>
      <c r="H483" s="7">
        <f t="shared" si="7"/>
        <v>12</v>
      </c>
      <c r="I483" s="3" t="s">
        <v>45</v>
      </c>
      <c r="J483" s="3" t="s">
        <v>15</v>
      </c>
      <c r="K483" s="3" t="s">
        <v>172</v>
      </c>
      <c r="L483" s="3" t="s">
        <v>173</v>
      </c>
    </row>
    <row r="484" spans="1:12" x14ac:dyDescent="0.35">
      <c r="A484" s="3">
        <v>483</v>
      </c>
      <c r="B484" s="3" t="s">
        <v>52</v>
      </c>
      <c r="C484" s="3" t="s">
        <v>624</v>
      </c>
      <c r="D484" s="4">
        <v>1</v>
      </c>
      <c r="E484" s="5">
        <v>42356</v>
      </c>
      <c r="F484" s="6">
        <v>0.76144675925925931</v>
      </c>
      <c r="G484" s="7">
        <v>12.5</v>
      </c>
      <c r="H484" s="7">
        <f t="shared" si="7"/>
        <v>12.5</v>
      </c>
      <c r="I484" s="3" t="s">
        <v>45</v>
      </c>
      <c r="J484" s="3" t="s">
        <v>31</v>
      </c>
      <c r="K484" s="3" t="s">
        <v>32</v>
      </c>
      <c r="L484" s="3" t="s">
        <v>33</v>
      </c>
    </row>
    <row r="485" spans="1:12" x14ac:dyDescent="0.35">
      <c r="A485" s="3">
        <v>484</v>
      </c>
      <c r="B485" s="3" t="s">
        <v>218</v>
      </c>
      <c r="C485" s="3" t="s">
        <v>625</v>
      </c>
      <c r="D485" s="4">
        <v>1</v>
      </c>
      <c r="E485" s="5">
        <v>42356</v>
      </c>
      <c r="F485" s="6">
        <v>0.8892592592592593</v>
      </c>
      <c r="G485" s="7">
        <v>16.75</v>
      </c>
      <c r="H485" s="7">
        <f t="shared" si="7"/>
        <v>16.75</v>
      </c>
      <c r="I485" s="3" t="s">
        <v>14</v>
      </c>
      <c r="J485" s="3" t="s">
        <v>21</v>
      </c>
      <c r="K485" s="3" t="s">
        <v>140</v>
      </c>
      <c r="L485" s="3" t="s">
        <v>141</v>
      </c>
    </row>
    <row r="486" spans="1:12" x14ac:dyDescent="0.35">
      <c r="A486" s="3">
        <v>485</v>
      </c>
      <c r="B486" s="3" t="s">
        <v>170</v>
      </c>
      <c r="C486" s="3" t="s">
        <v>626</v>
      </c>
      <c r="D486" s="4">
        <v>1</v>
      </c>
      <c r="E486" s="5">
        <v>42357</v>
      </c>
      <c r="F486" s="6">
        <v>0.79348379629629628</v>
      </c>
      <c r="G486" s="7">
        <v>12</v>
      </c>
      <c r="H486" s="7">
        <f t="shared" si="7"/>
        <v>12</v>
      </c>
      <c r="I486" s="3" t="s">
        <v>45</v>
      </c>
      <c r="J486" s="3" t="s">
        <v>15</v>
      </c>
      <c r="K486" s="3" t="s">
        <v>172</v>
      </c>
      <c r="L486" s="3" t="s">
        <v>173</v>
      </c>
    </row>
    <row r="487" spans="1:12" x14ac:dyDescent="0.35">
      <c r="A487" s="3">
        <v>486</v>
      </c>
      <c r="B487" s="3" t="s">
        <v>407</v>
      </c>
      <c r="C487" s="3" t="s">
        <v>627</v>
      </c>
      <c r="D487" s="4">
        <v>1</v>
      </c>
      <c r="E487" s="5">
        <v>42357</v>
      </c>
      <c r="F487" s="6">
        <v>0.88604166666666673</v>
      </c>
      <c r="G487" s="7">
        <v>14.75</v>
      </c>
      <c r="H487" s="7">
        <f t="shared" si="7"/>
        <v>14.75</v>
      </c>
      <c r="I487" s="3" t="s">
        <v>14</v>
      </c>
      <c r="J487" s="3" t="s">
        <v>26</v>
      </c>
      <c r="K487" s="3" t="s">
        <v>60</v>
      </c>
      <c r="L487" s="3" t="s">
        <v>61</v>
      </c>
    </row>
    <row r="488" spans="1:12" x14ac:dyDescent="0.35">
      <c r="A488" s="3">
        <v>487</v>
      </c>
      <c r="B488" s="3" t="s">
        <v>583</v>
      </c>
      <c r="C488" s="3" t="s">
        <v>628</v>
      </c>
      <c r="D488" s="4">
        <v>1</v>
      </c>
      <c r="E488" s="5">
        <v>42358</v>
      </c>
      <c r="F488" s="6">
        <v>0.55677083333333333</v>
      </c>
      <c r="G488" s="7">
        <v>16.75</v>
      </c>
      <c r="H488" s="7">
        <f t="shared" si="7"/>
        <v>16.75</v>
      </c>
      <c r="I488" s="3" t="s">
        <v>14</v>
      </c>
      <c r="J488" s="3" t="s">
        <v>21</v>
      </c>
      <c r="K488" s="3" t="s">
        <v>92</v>
      </c>
      <c r="L488" s="3" t="s">
        <v>93</v>
      </c>
    </row>
    <row r="489" spans="1:12" x14ac:dyDescent="0.35">
      <c r="A489" s="3">
        <v>488</v>
      </c>
      <c r="B489" s="3" t="s">
        <v>276</v>
      </c>
      <c r="C489" s="3" t="s">
        <v>629</v>
      </c>
      <c r="D489" s="4">
        <v>1</v>
      </c>
      <c r="E489" s="5">
        <v>42359</v>
      </c>
      <c r="F489" s="6">
        <v>0.61518518518518517</v>
      </c>
      <c r="G489" s="7">
        <v>16</v>
      </c>
      <c r="H489" s="7">
        <f t="shared" si="7"/>
        <v>16</v>
      </c>
      <c r="I489" s="3" t="s">
        <v>14</v>
      </c>
      <c r="J489" s="3" t="s">
        <v>15</v>
      </c>
      <c r="K489" s="3" t="s">
        <v>184</v>
      </c>
      <c r="L489" s="3" t="s">
        <v>185</v>
      </c>
    </row>
    <row r="490" spans="1:12" x14ac:dyDescent="0.35">
      <c r="A490" s="3">
        <v>489</v>
      </c>
      <c r="B490" s="3" t="s">
        <v>155</v>
      </c>
      <c r="C490" s="3" t="s">
        <v>630</v>
      </c>
      <c r="D490" s="4">
        <v>1</v>
      </c>
      <c r="E490" s="5">
        <v>42359</v>
      </c>
      <c r="F490" s="6">
        <v>0.62266203703703704</v>
      </c>
      <c r="G490" s="7">
        <v>16.5</v>
      </c>
      <c r="H490" s="7">
        <f t="shared" si="7"/>
        <v>16.5</v>
      </c>
      <c r="I490" s="3" t="s">
        <v>14</v>
      </c>
      <c r="J490" s="3" t="s">
        <v>31</v>
      </c>
      <c r="K490" s="3" t="s">
        <v>46</v>
      </c>
      <c r="L490" s="3" t="s">
        <v>47</v>
      </c>
    </row>
    <row r="491" spans="1:12" x14ac:dyDescent="0.35">
      <c r="A491" s="3">
        <v>490</v>
      </c>
      <c r="B491" s="3" t="s">
        <v>405</v>
      </c>
      <c r="C491" s="3" t="s">
        <v>631</v>
      </c>
      <c r="D491" s="4">
        <v>1</v>
      </c>
      <c r="E491" s="5">
        <v>42359</v>
      </c>
      <c r="F491" s="6">
        <v>0.65244212962962966</v>
      </c>
      <c r="G491" s="7">
        <v>20.5</v>
      </c>
      <c r="H491" s="7">
        <f t="shared" si="7"/>
        <v>20.5</v>
      </c>
      <c r="I491" s="3" t="s">
        <v>20</v>
      </c>
      <c r="J491" s="3" t="s">
        <v>15</v>
      </c>
      <c r="K491" s="3" t="s">
        <v>16</v>
      </c>
      <c r="L491" s="3" t="s">
        <v>17</v>
      </c>
    </row>
    <row r="492" spans="1:12" x14ac:dyDescent="0.35">
      <c r="A492" s="3">
        <v>491</v>
      </c>
      <c r="B492" s="3" t="s">
        <v>238</v>
      </c>
      <c r="C492" s="3" t="s">
        <v>632</v>
      </c>
      <c r="D492" s="4">
        <v>1</v>
      </c>
      <c r="E492" s="5">
        <v>42359</v>
      </c>
      <c r="F492" s="6">
        <v>0.72217592592592583</v>
      </c>
      <c r="G492" s="7">
        <v>20.25</v>
      </c>
      <c r="H492" s="7">
        <f t="shared" si="7"/>
        <v>20.25</v>
      </c>
      <c r="I492" s="3" t="s">
        <v>20</v>
      </c>
      <c r="J492" s="3" t="s">
        <v>26</v>
      </c>
      <c r="K492" s="3" t="s">
        <v>56</v>
      </c>
      <c r="L492" s="3" t="s">
        <v>57</v>
      </c>
    </row>
    <row r="493" spans="1:12" x14ac:dyDescent="0.35">
      <c r="A493" s="3">
        <v>492</v>
      </c>
      <c r="B493" s="3" t="s">
        <v>560</v>
      </c>
      <c r="C493" s="3" t="s">
        <v>633</v>
      </c>
      <c r="D493" s="4">
        <v>1</v>
      </c>
      <c r="E493" s="5">
        <v>42360</v>
      </c>
      <c r="F493" s="6">
        <v>0.65128472222222222</v>
      </c>
      <c r="G493" s="7">
        <v>17.5</v>
      </c>
      <c r="H493" s="7">
        <f t="shared" si="7"/>
        <v>17.5</v>
      </c>
      <c r="I493" s="3" t="s">
        <v>20</v>
      </c>
      <c r="J493" s="3" t="s">
        <v>15</v>
      </c>
      <c r="K493" s="3" t="s">
        <v>368</v>
      </c>
      <c r="L493" s="3" t="s">
        <v>369</v>
      </c>
    </row>
    <row r="494" spans="1:12" x14ac:dyDescent="0.35">
      <c r="A494" s="3">
        <v>493</v>
      </c>
      <c r="B494" s="3" t="s">
        <v>24</v>
      </c>
      <c r="C494" s="3" t="s">
        <v>634</v>
      </c>
      <c r="D494" s="4">
        <v>1</v>
      </c>
      <c r="E494" s="5">
        <v>42361</v>
      </c>
      <c r="F494" s="6">
        <v>0.48807870370370371</v>
      </c>
      <c r="G494" s="7">
        <v>18.5</v>
      </c>
      <c r="H494" s="7">
        <f t="shared" si="7"/>
        <v>18.5</v>
      </c>
      <c r="I494" s="3" t="s">
        <v>20</v>
      </c>
      <c r="J494" s="3" t="s">
        <v>26</v>
      </c>
      <c r="K494" s="3" t="s">
        <v>27</v>
      </c>
      <c r="L494" s="3" t="s">
        <v>28</v>
      </c>
    </row>
    <row r="495" spans="1:12" x14ac:dyDescent="0.35">
      <c r="A495" s="3">
        <v>494</v>
      </c>
      <c r="B495" s="3" t="s">
        <v>48</v>
      </c>
      <c r="C495" s="3" t="s">
        <v>635</v>
      </c>
      <c r="D495" s="4">
        <v>1</v>
      </c>
      <c r="E495" s="5">
        <v>42366</v>
      </c>
      <c r="F495" s="6">
        <v>0.51107638888888884</v>
      </c>
      <c r="G495" s="7">
        <v>20.75</v>
      </c>
      <c r="H495" s="7">
        <f t="shared" si="7"/>
        <v>20.75</v>
      </c>
      <c r="I495" s="3" t="s">
        <v>20</v>
      </c>
      <c r="J495" s="3" t="s">
        <v>31</v>
      </c>
      <c r="K495" s="3" t="s">
        <v>50</v>
      </c>
      <c r="L495" s="3" t="s">
        <v>51</v>
      </c>
    </row>
    <row r="496" spans="1:12" x14ac:dyDescent="0.35">
      <c r="A496" s="3">
        <v>495</v>
      </c>
      <c r="B496" s="3" t="s">
        <v>39</v>
      </c>
      <c r="C496" s="3" t="s">
        <v>193</v>
      </c>
      <c r="D496" s="4">
        <v>1</v>
      </c>
      <c r="E496" s="5">
        <v>42366</v>
      </c>
      <c r="F496" s="6">
        <v>0.52156250000000004</v>
      </c>
      <c r="G496" s="7">
        <v>15.25</v>
      </c>
      <c r="H496" s="7">
        <f t="shared" si="7"/>
        <v>15.25</v>
      </c>
      <c r="I496" s="3" t="s">
        <v>20</v>
      </c>
      <c r="J496" s="3" t="s">
        <v>15</v>
      </c>
      <c r="K496" s="3" t="s">
        <v>41</v>
      </c>
      <c r="L496" s="3" t="s">
        <v>42</v>
      </c>
    </row>
    <row r="497" spans="1:12" x14ac:dyDescent="0.35">
      <c r="A497" s="3">
        <v>496</v>
      </c>
      <c r="B497" s="3" t="s">
        <v>182</v>
      </c>
      <c r="C497" s="3" t="s">
        <v>636</v>
      </c>
      <c r="D497" s="4">
        <v>1</v>
      </c>
      <c r="E497" s="5">
        <v>42366</v>
      </c>
      <c r="F497" s="6">
        <v>0.53814814814814815</v>
      </c>
      <c r="G497" s="7">
        <v>12</v>
      </c>
      <c r="H497" s="7">
        <f t="shared" si="7"/>
        <v>12</v>
      </c>
      <c r="I497" s="3" t="s">
        <v>45</v>
      </c>
      <c r="J497" s="3" t="s">
        <v>15</v>
      </c>
      <c r="K497" s="3" t="s">
        <v>184</v>
      </c>
      <c r="L497" s="3" t="s">
        <v>185</v>
      </c>
    </row>
    <row r="498" spans="1:12" x14ac:dyDescent="0.35">
      <c r="A498" s="3">
        <v>497</v>
      </c>
      <c r="B498" s="3" t="s">
        <v>175</v>
      </c>
      <c r="C498" s="3" t="s">
        <v>637</v>
      </c>
      <c r="D498" s="4">
        <v>1</v>
      </c>
      <c r="E498" s="5">
        <v>42366</v>
      </c>
      <c r="F498" s="6">
        <v>0.64496527777777779</v>
      </c>
      <c r="G498" s="7">
        <v>12</v>
      </c>
      <c r="H498" s="7">
        <f t="shared" si="7"/>
        <v>12</v>
      </c>
      <c r="I498" s="3" t="s">
        <v>45</v>
      </c>
      <c r="J498" s="3" t="s">
        <v>15</v>
      </c>
      <c r="K498" s="3" t="s">
        <v>16</v>
      </c>
      <c r="L498" s="3" t="s">
        <v>17</v>
      </c>
    </row>
    <row r="499" spans="1:12" x14ac:dyDescent="0.35">
      <c r="A499" s="3">
        <v>498</v>
      </c>
      <c r="B499" s="3" t="s">
        <v>366</v>
      </c>
      <c r="C499" s="3" t="s">
        <v>517</v>
      </c>
      <c r="D499" s="4">
        <v>1</v>
      </c>
      <c r="E499" s="5">
        <v>42366</v>
      </c>
      <c r="F499" s="6">
        <v>0.71403935185185186</v>
      </c>
      <c r="G499" s="7">
        <v>14.5</v>
      </c>
      <c r="H499" s="7">
        <f t="shared" si="7"/>
        <v>14.5</v>
      </c>
      <c r="I499" s="3" t="s">
        <v>14</v>
      </c>
      <c r="J499" s="3" t="s">
        <v>15</v>
      </c>
      <c r="K499" s="3" t="s">
        <v>368</v>
      </c>
      <c r="L499" s="3" t="s">
        <v>369</v>
      </c>
    </row>
    <row r="500" spans="1:12" x14ac:dyDescent="0.35">
      <c r="A500" s="3">
        <v>499</v>
      </c>
      <c r="B500" s="3" t="s">
        <v>126</v>
      </c>
      <c r="C500" s="3" t="s">
        <v>638</v>
      </c>
      <c r="D500" s="4">
        <v>1</v>
      </c>
      <c r="E500" s="5">
        <v>42366</v>
      </c>
      <c r="F500" s="6">
        <v>0.75876157407407396</v>
      </c>
      <c r="G500" s="7">
        <v>10.5</v>
      </c>
      <c r="H500" s="7">
        <f t="shared" si="7"/>
        <v>10.5</v>
      </c>
      <c r="I500" s="3" t="s">
        <v>45</v>
      </c>
      <c r="J500" s="3" t="s">
        <v>15</v>
      </c>
      <c r="K500" s="3" t="s">
        <v>107</v>
      </c>
      <c r="L500" s="3" t="s">
        <v>108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D312-B842-470B-BA8C-916214BE7BCF}">
  <dimension ref="A1:Q14"/>
  <sheetViews>
    <sheetView topLeftCell="F1" workbookViewId="0">
      <selection activeCell="P3" sqref="P3"/>
    </sheetView>
  </sheetViews>
  <sheetFormatPr defaultRowHeight="14.5" x14ac:dyDescent="0.35"/>
  <cols>
    <col min="1" max="1" width="12.08984375" bestFit="1" customWidth="1"/>
    <col min="2" max="2" width="23.1796875" bestFit="1" customWidth="1"/>
    <col min="4" max="4" width="12.08984375" bestFit="1" customWidth="1"/>
    <col min="5" max="5" width="23.1796875" bestFit="1" customWidth="1"/>
    <col min="8" max="8" width="12.08984375" bestFit="1" customWidth="1"/>
    <col min="9" max="9" width="11" bestFit="1" customWidth="1"/>
    <col min="10" max="10" width="11" customWidth="1"/>
    <col min="12" max="12" width="24.36328125" bestFit="1" customWidth="1"/>
    <col min="13" max="13" width="18.7265625" bestFit="1" customWidth="1"/>
    <col min="16" max="16" width="12.08984375" bestFit="1" customWidth="1"/>
    <col min="17" max="17" width="23.1796875" bestFit="1" customWidth="1"/>
  </cols>
  <sheetData>
    <row r="1" spans="1:17" x14ac:dyDescent="0.35">
      <c r="A1" s="8" t="s">
        <v>639</v>
      </c>
      <c r="B1" s="9" t="s">
        <v>641</v>
      </c>
      <c r="D1" s="8" t="s">
        <v>639</v>
      </c>
      <c r="E1" s="9" t="s">
        <v>641</v>
      </c>
      <c r="H1" s="8" t="s">
        <v>639</v>
      </c>
      <c r="I1" s="9" t="s">
        <v>647</v>
      </c>
      <c r="L1" s="8" t="s">
        <v>639</v>
      </c>
      <c r="M1" s="9" t="s">
        <v>648</v>
      </c>
      <c r="P1" s="8" t="s">
        <v>639</v>
      </c>
      <c r="Q1" s="9" t="s">
        <v>641</v>
      </c>
    </row>
    <row r="2" spans="1:17" x14ac:dyDescent="0.35">
      <c r="A2" s="10" t="s">
        <v>20</v>
      </c>
      <c r="B2" s="20">
        <v>197</v>
      </c>
      <c r="D2" s="10" t="s">
        <v>644</v>
      </c>
      <c r="E2" s="20">
        <v>72</v>
      </c>
      <c r="H2" s="10" t="s">
        <v>26</v>
      </c>
      <c r="I2" s="13">
        <v>0.28037410873572355</v>
      </c>
      <c r="J2" s="19"/>
      <c r="L2" s="10" t="s">
        <v>38</v>
      </c>
      <c r="M2" s="16">
        <v>18</v>
      </c>
      <c r="P2" s="10" t="s">
        <v>649</v>
      </c>
      <c r="Q2" s="20">
        <v>33</v>
      </c>
    </row>
    <row r="3" spans="1:17" x14ac:dyDescent="0.35">
      <c r="A3" s="11" t="s">
        <v>45</v>
      </c>
      <c r="B3" s="21">
        <v>153</v>
      </c>
      <c r="D3" s="11" t="s">
        <v>643</v>
      </c>
      <c r="E3" s="21">
        <v>56</v>
      </c>
      <c r="H3" s="11" t="s">
        <v>15</v>
      </c>
      <c r="I3" s="14">
        <v>0.26964633922274045</v>
      </c>
      <c r="J3" s="19"/>
      <c r="L3" s="11" t="s">
        <v>57</v>
      </c>
      <c r="M3" s="17">
        <v>18</v>
      </c>
      <c r="P3" s="11" t="s">
        <v>650</v>
      </c>
      <c r="Q3" s="21">
        <v>32</v>
      </c>
    </row>
    <row r="4" spans="1:17" x14ac:dyDescent="0.35">
      <c r="A4" s="11" t="s">
        <v>14</v>
      </c>
      <c r="B4" s="21">
        <v>138</v>
      </c>
      <c r="D4" s="11" t="s">
        <v>645</v>
      </c>
      <c r="E4" s="21">
        <v>55</v>
      </c>
      <c r="H4" s="11" t="s">
        <v>31</v>
      </c>
      <c r="I4" s="14">
        <v>0.24324772849852713</v>
      </c>
      <c r="J4" s="19"/>
      <c r="L4" s="11" t="s">
        <v>93</v>
      </c>
      <c r="M4" s="17">
        <v>18</v>
      </c>
      <c r="P4" s="11" t="s">
        <v>651</v>
      </c>
      <c r="Q4" s="21">
        <v>30</v>
      </c>
    </row>
    <row r="5" spans="1:17" x14ac:dyDescent="0.35">
      <c r="A5" s="11" t="s">
        <v>36</v>
      </c>
      <c r="B5" s="21">
        <v>11</v>
      </c>
      <c r="D5" s="11" t="s">
        <v>642</v>
      </c>
      <c r="E5" s="21">
        <v>55</v>
      </c>
      <c r="H5" s="11" t="s">
        <v>21</v>
      </c>
      <c r="I5" s="14">
        <v>0.20673182354300884</v>
      </c>
      <c r="J5" s="19"/>
      <c r="L5" s="11" t="s">
        <v>89</v>
      </c>
      <c r="M5" s="17">
        <v>18</v>
      </c>
      <c r="P5" s="11" t="s">
        <v>652</v>
      </c>
      <c r="Q5" s="21">
        <v>34</v>
      </c>
    </row>
    <row r="6" spans="1:17" x14ac:dyDescent="0.35">
      <c r="A6" s="12" t="s">
        <v>640</v>
      </c>
      <c r="B6" s="22">
        <v>499</v>
      </c>
      <c r="D6" s="11" t="s">
        <v>646</v>
      </c>
      <c r="E6" s="21">
        <v>51</v>
      </c>
      <c r="H6" s="12" t="s">
        <v>640</v>
      </c>
      <c r="I6" s="15">
        <v>1</v>
      </c>
      <c r="J6" s="19"/>
      <c r="L6" s="11" t="s">
        <v>108</v>
      </c>
      <c r="M6" s="17">
        <v>21</v>
      </c>
      <c r="P6" s="11" t="s">
        <v>653</v>
      </c>
      <c r="Q6" s="21">
        <v>47</v>
      </c>
    </row>
    <row r="7" spans="1:17" x14ac:dyDescent="0.35">
      <c r="D7" s="12" t="s">
        <v>640</v>
      </c>
      <c r="E7" s="22">
        <v>289</v>
      </c>
      <c r="L7" s="11" t="s">
        <v>82</v>
      </c>
      <c r="M7" s="17">
        <v>21</v>
      </c>
      <c r="P7" s="11" t="s">
        <v>654</v>
      </c>
      <c r="Q7" s="21">
        <v>54</v>
      </c>
    </row>
    <row r="8" spans="1:17" x14ac:dyDescent="0.35">
      <c r="L8" s="11" t="s">
        <v>104</v>
      </c>
      <c r="M8" s="17">
        <v>22</v>
      </c>
      <c r="P8" s="11" t="s">
        <v>655</v>
      </c>
      <c r="Q8" s="21">
        <v>47</v>
      </c>
    </row>
    <row r="9" spans="1:17" x14ac:dyDescent="0.35">
      <c r="L9" s="11" t="s">
        <v>77</v>
      </c>
      <c r="M9" s="17">
        <v>22</v>
      </c>
      <c r="P9" s="11" t="s">
        <v>656</v>
      </c>
      <c r="Q9" s="21">
        <v>51</v>
      </c>
    </row>
    <row r="10" spans="1:17" x14ac:dyDescent="0.35">
      <c r="L10" s="11" t="s">
        <v>173</v>
      </c>
      <c r="M10" s="17">
        <v>23</v>
      </c>
      <c r="P10" s="11" t="s">
        <v>657</v>
      </c>
      <c r="Q10" s="21">
        <v>47</v>
      </c>
    </row>
    <row r="11" spans="1:17" x14ac:dyDescent="0.35">
      <c r="L11" s="11" t="s">
        <v>61</v>
      </c>
      <c r="M11" s="17">
        <v>25</v>
      </c>
      <c r="P11" s="11" t="s">
        <v>658</v>
      </c>
      <c r="Q11" s="21">
        <v>44</v>
      </c>
    </row>
    <row r="12" spans="1:17" x14ac:dyDescent="0.35">
      <c r="L12" s="11" t="s">
        <v>42</v>
      </c>
      <c r="M12" s="17">
        <v>26</v>
      </c>
      <c r="P12" s="11" t="s">
        <v>659</v>
      </c>
      <c r="Q12" s="21">
        <v>34</v>
      </c>
    </row>
    <row r="13" spans="1:17" x14ac:dyDescent="0.35">
      <c r="L13" s="11" t="s">
        <v>17</v>
      </c>
      <c r="M13" s="17">
        <v>30</v>
      </c>
      <c r="P13" s="11" t="s">
        <v>660</v>
      </c>
      <c r="Q13" s="21">
        <v>46</v>
      </c>
    </row>
    <row r="14" spans="1:17" x14ac:dyDescent="0.35">
      <c r="L14" s="12" t="s">
        <v>640</v>
      </c>
      <c r="M14" s="18">
        <v>262</v>
      </c>
      <c r="P14" s="12" t="s">
        <v>640</v>
      </c>
      <c r="Q14" s="22">
        <v>499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5D42-B95B-4E82-B471-04BA2931F494}">
  <dimension ref="A1"/>
  <sheetViews>
    <sheetView showGridLines="0" tabSelected="1" zoomScaleNormal="100" workbookViewId="0">
      <selection activeCell="Y25" sqref="Y25"/>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Sherin Abdalla</dc:creator>
  <cp:lastModifiedBy>Sherin Abdalla</cp:lastModifiedBy>
  <cp:lastPrinted>2026-10-02T13:16:49Z</cp:lastPrinted>
  <dcterms:created xsi:type="dcterms:W3CDTF">2026-10-02T11:16:39Z</dcterms:created>
  <dcterms:modified xsi:type="dcterms:W3CDTF">2026-10-02T13:49:57Z</dcterms:modified>
</cp:coreProperties>
</file>